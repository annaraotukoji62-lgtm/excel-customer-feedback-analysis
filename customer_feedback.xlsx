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360" yWindow="525" windowWidth="19815" windowHeight="7365" activeTab="1"/>
  </bookViews>
  <sheets>
    <sheet name="CustomerFeedback" sheetId="1" r:id="rId1"/>
    <sheet name="Sheet1" sheetId="2" r:id="rId2"/>
  </sheets>
  <definedNames>
    <definedName name="_xlnm._FilterDatabase" localSheetId="0" hidden="1">CustomerFeedback!$A$1:$F$301</definedName>
  </definedNames>
  <calcPr calcId="124519"/>
  <pivotCaches>
    <pivotCache cacheId="2" r:id="rId3"/>
    <pivotCache cacheId="5" r:id="rId4"/>
  </pivotCaches>
</workbook>
</file>

<file path=xl/calcChain.xml><?xml version="1.0" encoding="utf-8"?>
<calcChain xmlns="http://schemas.openxmlformats.org/spreadsheetml/2006/main">
  <c r="E301" i="2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H17" i="1"/>
  <c r="J10"/>
  <c r="J13"/>
  <c r="J7"/>
  <c r="H13"/>
  <c r="H10"/>
  <c r="H7"/>
  <c r="G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2"/>
</calcChain>
</file>

<file path=xl/sharedStrings.xml><?xml version="1.0" encoding="utf-8"?>
<sst xmlns="http://schemas.openxmlformats.org/spreadsheetml/2006/main" count="1829" uniqueCount="336">
  <si>
    <t>Feedback_ID</t>
  </si>
  <si>
    <t>Customer_Age</t>
  </si>
  <si>
    <t>Gender</t>
  </si>
  <si>
    <t>Rating</t>
  </si>
  <si>
    <t>Comment</t>
  </si>
  <si>
    <t>FB001</t>
  </si>
  <si>
    <t>Female</t>
  </si>
  <si>
    <t>Average experience.</t>
  </si>
  <si>
    <t>FB002</t>
  </si>
  <si>
    <t>Product quality is excellent!</t>
  </si>
  <si>
    <t>FB003</t>
  </si>
  <si>
    <t>Male</t>
  </si>
  <si>
    <t>Product quality was poor.</t>
  </si>
  <si>
    <t>FB004</t>
  </si>
  <si>
    <t>Very helpful and quick.</t>
  </si>
  <si>
    <t>FB005</t>
  </si>
  <si>
    <t>Loved the support team response.</t>
  </si>
  <si>
    <t>FB006</t>
  </si>
  <si>
    <t>FB007</t>
  </si>
  <si>
    <t>FB008</t>
  </si>
  <si>
    <t>Service was fine.</t>
  </si>
  <si>
    <t>FB009</t>
  </si>
  <si>
    <t>Great service, very satisfied.</t>
  </si>
  <si>
    <t>FB010</t>
  </si>
  <si>
    <t>FB011</t>
  </si>
  <si>
    <t>Not satisfied with the purchase.</t>
  </si>
  <si>
    <t>FB012</t>
  </si>
  <si>
    <t>Very disappointed.</t>
  </si>
  <si>
    <t>FB013</t>
  </si>
  <si>
    <t>Customer service was slow.</t>
  </si>
  <si>
    <t>FB014</t>
  </si>
  <si>
    <t>FB015</t>
  </si>
  <si>
    <t>FB016</t>
  </si>
  <si>
    <t>FB017</t>
  </si>
  <si>
    <t>FB018</t>
  </si>
  <si>
    <t>FB019</t>
  </si>
  <si>
    <t>FB020</t>
  </si>
  <si>
    <t>It was okay, nothing special.</t>
  </si>
  <si>
    <t>FB021</t>
  </si>
  <si>
    <t>FB022</t>
  </si>
  <si>
    <t>FB023</t>
  </si>
  <si>
    <t>FB024</t>
  </si>
  <si>
    <t>FB025</t>
  </si>
  <si>
    <t>FB026</t>
  </si>
  <si>
    <t>FB027</t>
  </si>
  <si>
    <t>FB028</t>
  </si>
  <si>
    <t>Bad experience, not recommended.</t>
  </si>
  <si>
    <t>FB029</t>
  </si>
  <si>
    <t>FB030</t>
  </si>
  <si>
    <t>FB031</t>
  </si>
  <si>
    <t>Not bad, not great.</t>
  </si>
  <si>
    <t>FB032</t>
  </si>
  <si>
    <t>FB033</t>
  </si>
  <si>
    <t>Amazing experience!</t>
  </si>
  <si>
    <t>FB034</t>
  </si>
  <si>
    <t>FB035</t>
  </si>
  <si>
    <t>FB036</t>
  </si>
  <si>
    <t>FB037</t>
  </si>
  <si>
    <t>FB038</t>
  </si>
  <si>
    <t>Satisfactory.</t>
  </si>
  <si>
    <t>FB039</t>
  </si>
  <si>
    <t>FB040</t>
  </si>
  <si>
    <t>FB041</t>
  </si>
  <si>
    <t>FB042</t>
  </si>
  <si>
    <t>FB043</t>
  </si>
  <si>
    <t>FB044</t>
  </si>
  <si>
    <t>FB045</t>
  </si>
  <si>
    <t>FB046</t>
  </si>
  <si>
    <t>FB047</t>
  </si>
  <si>
    <t>FB048</t>
  </si>
  <si>
    <t>FB049</t>
  </si>
  <si>
    <t>FB050</t>
  </si>
  <si>
    <t>FB051</t>
  </si>
  <si>
    <t>FB052</t>
  </si>
  <si>
    <t>FB053</t>
  </si>
  <si>
    <t>FB054</t>
  </si>
  <si>
    <t>FB055</t>
  </si>
  <si>
    <t>FB056</t>
  </si>
  <si>
    <t>FB057</t>
  </si>
  <si>
    <t>FB058</t>
  </si>
  <si>
    <t>FB059</t>
  </si>
  <si>
    <t>FB060</t>
  </si>
  <si>
    <t>FB061</t>
  </si>
  <si>
    <t>FB062</t>
  </si>
  <si>
    <t>FB063</t>
  </si>
  <si>
    <t>FB064</t>
  </si>
  <si>
    <t>FB065</t>
  </si>
  <si>
    <t>FB066</t>
  </si>
  <si>
    <t>FB067</t>
  </si>
  <si>
    <t>FB068</t>
  </si>
  <si>
    <t>FB069</t>
  </si>
  <si>
    <t>FB070</t>
  </si>
  <si>
    <t>FB071</t>
  </si>
  <si>
    <t>FB072</t>
  </si>
  <si>
    <t>FB073</t>
  </si>
  <si>
    <t>FB074</t>
  </si>
  <si>
    <t>FB075</t>
  </si>
  <si>
    <t>FB076</t>
  </si>
  <si>
    <t>FB077</t>
  </si>
  <si>
    <t>FB078</t>
  </si>
  <si>
    <t>FB079</t>
  </si>
  <si>
    <t>FB080</t>
  </si>
  <si>
    <t>FB081</t>
  </si>
  <si>
    <t>FB082</t>
  </si>
  <si>
    <t>FB083</t>
  </si>
  <si>
    <t>FB084</t>
  </si>
  <si>
    <t>FB085</t>
  </si>
  <si>
    <t>FB086</t>
  </si>
  <si>
    <t>FB087</t>
  </si>
  <si>
    <t>FB088</t>
  </si>
  <si>
    <t>FB089</t>
  </si>
  <si>
    <t>FB090</t>
  </si>
  <si>
    <t>FB091</t>
  </si>
  <si>
    <t>FB092</t>
  </si>
  <si>
    <t>FB093</t>
  </si>
  <si>
    <t>FB094</t>
  </si>
  <si>
    <t>FB095</t>
  </si>
  <si>
    <t>FB096</t>
  </si>
  <si>
    <t>FB097</t>
  </si>
  <si>
    <t>FB098</t>
  </si>
  <si>
    <t>FB099</t>
  </si>
  <si>
    <t>FB100</t>
  </si>
  <si>
    <t>FB101</t>
  </si>
  <si>
    <t>FB102</t>
  </si>
  <si>
    <t>FB103</t>
  </si>
  <si>
    <t>FB104</t>
  </si>
  <si>
    <t>FB105</t>
  </si>
  <si>
    <t>FB106</t>
  </si>
  <si>
    <t>FB107</t>
  </si>
  <si>
    <t>FB108</t>
  </si>
  <si>
    <t>FB109</t>
  </si>
  <si>
    <t>FB110</t>
  </si>
  <si>
    <t>FB111</t>
  </si>
  <si>
    <t>FB112</t>
  </si>
  <si>
    <t>FB113</t>
  </si>
  <si>
    <t>FB114</t>
  </si>
  <si>
    <t>FB115</t>
  </si>
  <si>
    <t>FB116</t>
  </si>
  <si>
    <t>FB117</t>
  </si>
  <si>
    <t>FB118</t>
  </si>
  <si>
    <t>FB119</t>
  </si>
  <si>
    <t>FB120</t>
  </si>
  <si>
    <t>FB121</t>
  </si>
  <si>
    <t>FB122</t>
  </si>
  <si>
    <t>FB123</t>
  </si>
  <si>
    <t>FB124</t>
  </si>
  <si>
    <t>FB125</t>
  </si>
  <si>
    <t>FB126</t>
  </si>
  <si>
    <t>FB127</t>
  </si>
  <si>
    <t>FB128</t>
  </si>
  <si>
    <t>FB129</t>
  </si>
  <si>
    <t>FB130</t>
  </si>
  <si>
    <t>FB131</t>
  </si>
  <si>
    <t>FB132</t>
  </si>
  <si>
    <t>FB133</t>
  </si>
  <si>
    <t>FB134</t>
  </si>
  <si>
    <t>FB135</t>
  </si>
  <si>
    <t>FB136</t>
  </si>
  <si>
    <t>FB137</t>
  </si>
  <si>
    <t>FB138</t>
  </si>
  <si>
    <t>FB139</t>
  </si>
  <si>
    <t>FB140</t>
  </si>
  <si>
    <t>FB141</t>
  </si>
  <si>
    <t>FB142</t>
  </si>
  <si>
    <t>FB143</t>
  </si>
  <si>
    <t>FB144</t>
  </si>
  <si>
    <t>FB145</t>
  </si>
  <si>
    <t>FB146</t>
  </si>
  <si>
    <t>FB147</t>
  </si>
  <si>
    <t>FB148</t>
  </si>
  <si>
    <t>FB149</t>
  </si>
  <si>
    <t>FB150</t>
  </si>
  <si>
    <t>FB151</t>
  </si>
  <si>
    <t>FB152</t>
  </si>
  <si>
    <t>FB153</t>
  </si>
  <si>
    <t>FB154</t>
  </si>
  <si>
    <t>FB155</t>
  </si>
  <si>
    <t>FB156</t>
  </si>
  <si>
    <t>FB157</t>
  </si>
  <si>
    <t>FB158</t>
  </si>
  <si>
    <t>FB159</t>
  </si>
  <si>
    <t>FB160</t>
  </si>
  <si>
    <t>FB161</t>
  </si>
  <si>
    <t>FB162</t>
  </si>
  <si>
    <t>FB163</t>
  </si>
  <si>
    <t>FB164</t>
  </si>
  <si>
    <t>FB165</t>
  </si>
  <si>
    <t>FB166</t>
  </si>
  <si>
    <t>FB167</t>
  </si>
  <si>
    <t>FB168</t>
  </si>
  <si>
    <t>FB169</t>
  </si>
  <si>
    <t>FB170</t>
  </si>
  <si>
    <t>FB171</t>
  </si>
  <si>
    <t>FB172</t>
  </si>
  <si>
    <t>FB173</t>
  </si>
  <si>
    <t>FB174</t>
  </si>
  <si>
    <t>FB175</t>
  </si>
  <si>
    <t>FB176</t>
  </si>
  <si>
    <t>FB177</t>
  </si>
  <si>
    <t>FB178</t>
  </si>
  <si>
    <t>FB179</t>
  </si>
  <si>
    <t>FB180</t>
  </si>
  <si>
    <t>FB181</t>
  </si>
  <si>
    <t>FB182</t>
  </si>
  <si>
    <t>FB183</t>
  </si>
  <si>
    <t>FB184</t>
  </si>
  <si>
    <t>FB185</t>
  </si>
  <si>
    <t>FB186</t>
  </si>
  <si>
    <t>FB187</t>
  </si>
  <si>
    <t>FB188</t>
  </si>
  <si>
    <t>FB189</t>
  </si>
  <si>
    <t>FB190</t>
  </si>
  <si>
    <t>FB191</t>
  </si>
  <si>
    <t>FB192</t>
  </si>
  <si>
    <t>FB193</t>
  </si>
  <si>
    <t>FB194</t>
  </si>
  <si>
    <t>FB195</t>
  </si>
  <si>
    <t>FB196</t>
  </si>
  <si>
    <t>FB197</t>
  </si>
  <si>
    <t>FB198</t>
  </si>
  <si>
    <t>FB199</t>
  </si>
  <si>
    <t>FB200</t>
  </si>
  <si>
    <t>FB201</t>
  </si>
  <si>
    <t>FB202</t>
  </si>
  <si>
    <t>FB203</t>
  </si>
  <si>
    <t>FB204</t>
  </si>
  <si>
    <t>FB205</t>
  </si>
  <si>
    <t>FB206</t>
  </si>
  <si>
    <t>FB207</t>
  </si>
  <si>
    <t>FB208</t>
  </si>
  <si>
    <t>FB209</t>
  </si>
  <si>
    <t>FB210</t>
  </si>
  <si>
    <t>FB211</t>
  </si>
  <si>
    <t>FB212</t>
  </si>
  <si>
    <t>FB213</t>
  </si>
  <si>
    <t>FB214</t>
  </si>
  <si>
    <t>FB215</t>
  </si>
  <si>
    <t>FB216</t>
  </si>
  <si>
    <t>FB217</t>
  </si>
  <si>
    <t>FB218</t>
  </si>
  <si>
    <t>FB219</t>
  </si>
  <si>
    <t>FB220</t>
  </si>
  <si>
    <t>FB221</t>
  </si>
  <si>
    <t>FB222</t>
  </si>
  <si>
    <t>FB223</t>
  </si>
  <si>
    <t>FB224</t>
  </si>
  <si>
    <t>FB225</t>
  </si>
  <si>
    <t>FB226</t>
  </si>
  <si>
    <t>FB227</t>
  </si>
  <si>
    <t>FB228</t>
  </si>
  <si>
    <t>FB229</t>
  </si>
  <si>
    <t>FB230</t>
  </si>
  <si>
    <t>FB231</t>
  </si>
  <si>
    <t>FB232</t>
  </si>
  <si>
    <t>FB233</t>
  </si>
  <si>
    <t>FB234</t>
  </si>
  <si>
    <t>FB235</t>
  </si>
  <si>
    <t>FB236</t>
  </si>
  <si>
    <t>FB237</t>
  </si>
  <si>
    <t>FB238</t>
  </si>
  <si>
    <t>FB239</t>
  </si>
  <si>
    <t>FB240</t>
  </si>
  <si>
    <t>FB241</t>
  </si>
  <si>
    <t>FB242</t>
  </si>
  <si>
    <t>FB243</t>
  </si>
  <si>
    <t>FB244</t>
  </si>
  <si>
    <t>FB245</t>
  </si>
  <si>
    <t>FB246</t>
  </si>
  <si>
    <t>FB247</t>
  </si>
  <si>
    <t>FB248</t>
  </si>
  <si>
    <t>FB249</t>
  </si>
  <si>
    <t>FB250</t>
  </si>
  <si>
    <t>FB251</t>
  </si>
  <si>
    <t>FB252</t>
  </si>
  <si>
    <t>FB253</t>
  </si>
  <si>
    <t>FB254</t>
  </si>
  <si>
    <t>FB255</t>
  </si>
  <si>
    <t>FB256</t>
  </si>
  <si>
    <t>FB257</t>
  </si>
  <si>
    <t>FB258</t>
  </si>
  <si>
    <t>FB259</t>
  </si>
  <si>
    <t>FB260</t>
  </si>
  <si>
    <t>FB261</t>
  </si>
  <si>
    <t>FB262</t>
  </si>
  <si>
    <t>FB263</t>
  </si>
  <si>
    <t>FB264</t>
  </si>
  <si>
    <t>FB265</t>
  </si>
  <si>
    <t>FB266</t>
  </si>
  <si>
    <t>FB267</t>
  </si>
  <si>
    <t>FB268</t>
  </si>
  <si>
    <t>FB269</t>
  </si>
  <si>
    <t>FB270</t>
  </si>
  <si>
    <t>FB271</t>
  </si>
  <si>
    <t>FB272</t>
  </si>
  <si>
    <t>FB273</t>
  </si>
  <si>
    <t>FB274</t>
  </si>
  <si>
    <t>FB275</t>
  </si>
  <si>
    <t>FB276</t>
  </si>
  <si>
    <t>FB277</t>
  </si>
  <si>
    <t>FB278</t>
  </si>
  <si>
    <t>FB279</t>
  </si>
  <si>
    <t>FB280</t>
  </si>
  <si>
    <t>FB281</t>
  </si>
  <si>
    <t>FB282</t>
  </si>
  <si>
    <t>FB283</t>
  </si>
  <si>
    <t>FB284</t>
  </si>
  <si>
    <t>FB285</t>
  </si>
  <si>
    <t>FB286</t>
  </si>
  <si>
    <t>FB287</t>
  </si>
  <si>
    <t>FB288</t>
  </si>
  <si>
    <t>FB289</t>
  </si>
  <si>
    <t>FB290</t>
  </si>
  <si>
    <t>FB291</t>
  </si>
  <si>
    <t>FB292</t>
  </si>
  <si>
    <t>FB293</t>
  </si>
  <si>
    <t>FB294</t>
  </si>
  <si>
    <t>FB295</t>
  </si>
  <si>
    <t>FB296</t>
  </si>
  <si>
    <t>FB297</t>
  </si>
  <si>
    <t>FB298</t>
  </si>
  <si>
    <t>FB299</t>
  </si>
  <si>
    <t>FB300</t>
  </si>
  <si>
    <t>sentiment</t>
  </si>
  <si>
    <t>total feed back count</t>
  </si>
  <si>
    <t xml:space="preserve">total positive </t>
  </si>
  <si>
    <t>total negative</t>
  </si>
  <si>
    <t>total neutral</t>
  </si>
  <si>
    <t>percentage of all sentiment</t>
  </si>
  <si>
    <t>avg rating</t>
  </si>
  <si>
    <t>Row Labels</t>
  </si>
  <si>
    <t>Negative</t>
  </si>
  <si>
    <t>Neutral</t>
  </si>
  <si>
    <t>Positive</t>
  </si>
  <si>
    <t>Grand Total</t>
  </si>
  <si>
    <t>Count of Feedback_ID</t>
  </si>
  <si>
    <t>Sum of Rating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</si>
</sst>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[customer_feedback.xlsx]Sheet1!PivotTable1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Sheet1!$I$6</c:f>
              <c:strCache>
                <c:ptCount val="1"/>
                <c:pt idx="0">
                  <c:v>Total</c:v>
                </c:pt>
              </c:strCache>
            </c:strRef>
          </c:tx>
          <c:explosion val="25"/>
          <c:cat>
            <c:strRef>
              <c:f>Sheet1!$H$7:$H$10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Sheet1!$I$7:$I$10</c:f>
              <c:numCache>
                <c:formatCode>General</c:formatCode>
                <c:ptCount val="3"/>
                <c:pt idx="0">
                  <c:v>121</c:v>
                </c:pt>
                <c:pt idx="1">
                  <c:v>54</c:v>
                </c:pt>
                <c:pt idx="2">
                  <c:v>125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[customer_feedback.xlsx]Sheet1!PivotTable2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Sheet1!$M$6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Sheet1!$L$7:$L$9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Sheet1!$M$7:$M$9</c:f>
              <c:numCache>
                <c:formatCode>General</c:formatCode>
                <c:ptCount val="2"/>
                <c:pt idx="0">
                  <c:v>468</c:v>
                </c:pt>
                <c:pt idx="1">
                  <c:v>448</c:v>
                </c:pt>
              </c:numCache>
            </c:numRef>
          </c:val>
        </c:ser>
        <c:axId val="106936192"/>
        <c:axId val="108291200"/>
      </c:barChart>
      <c:catAx>
        <c:axId val="106936192"/>
        <c:scaling>
          <c:orientation val="minMax"/>
        </c:scaling>
        <c:axPos val="b"/>
        <c:tickLblPos val="nextTo"/>
        <c:crossAx val="108291200"/>
        <c:crosses val="autoZero"/>
        <c:auto val="1"/>
        <c:lblAlgn val="ctr"/>
        <c:lblOffset val="100"/>
      </c:catAx>
      <c:valAx>
        <c:axId val="108291200"/>
        <c:scaling>
          <c:orientation val="minMax"/>
        </c:scaling>
        <c:axPos val="l"/>
        <c:majorGridlines/>
        <c:numFmt formatCode="General" sourceLinked="1"/>
        <c:tickLblPos val="nextTo"/>
        <c:crossAx val="1069361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590549</xdr:colOff>
      <xdr:row>11</xdr:row>
      <xdr:rowOff>19049</xdr:rowOff>
    </xdr:from>
    <xdr:to>
      <xdr:col>10</xdr:col>
      <xdr:colOff>19050</xdr:colOff>
      <xdr:row>21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11</xdr:row>
      <xdr:rowOff>19050</xdr:rowOff>
    </xdr:from>
    <xdr:to>
      <xdr:col>15</xdr:col>
      <xdr:colOff>114301</xdr:colOff>
      <xdr:row>21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89.009066666666" createdVersion="3" refreshedVersion="3" minRefreshableVersion="3" recordCount="300">
  <cacheSource type="worksheet">
    <worksheetSource ref="A1:F301" sheet="Sheet1"/>
  </cacheSource>
  <cacheFields count="6">
    <cacheField name="Feedback_ID" numFmtId="0">
      <sharedItems/>
    </cacheField>
    <cacheField name="Customer_Age" numFmtId="0">
      <sharedItems containsSemiMixedTypes="0" containsString="0" containsNumber="1" containsInteger="1" minValue="18" maxValue="65"/>
    </cacheField>
    <cacheField name="Gender" numFmtId="0">
      <sharedItems/>
    </cacheField>
    <cacheField name="Rating" numFmtId="0">
      <sharedItems containsSemiMixedTypes="0" containsString="0" containsNumber="1" containsInteger="1" minValue="1" maxValue="5"/>
    </cacheField>
    <cacheField name="sentiment" numFmtId="0">
      <sharedItems count="3">
        <s v="Neutral"/>
        <s v="Positive"/>
        <s v="Negative"/>
      </sharedItems>
    </cacheField>
    <cacheField name="Comment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5989.010260069444" createdVersion="3" refreshedVersion="3" minRefreshableVersion="3" recordCount="300">
  <cacheSource type="worksheet">
    <worksheetSource ref="C1:D301" sheet="Sheet1"/>
  </cacheSource>
  <cacheFields count="2">
    <cacheField name="Gender" numFmtId="0">
      <sharedItems count="2">
        <s v="Female"/>
        <s v="Male"/>
      </sharedItems>
    </cacheField>
    <cacheField name="Rating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FB001"/>
    <n v="59"/>
    <s v="Female"/>
    <n v="3"/>
    <x v="0"/>
    <s v="Average experience."/>
  </r>
  <r>
    <s v="FB002"/>
    <n v="65"/>
    <s v="Female"/>
    <n v="5"/>
    <x v="1"/>
    <s v="Product quality is excellent!"/>
  </r>
  <r>
    <s v="FB003"/>
    <n v="41"/>
    <s v="Male"/>
    <n v="2"/>
    <x v="2"/>
    <s v="Product quality was poor."/>
  </r>
  <r>
    <s v="FB004"/>
    <n v="30"/>
    <s v="Male"/>
    <n v="4"/>
    <x v="1"/>
    <s v="Very helpful and quick."/>
  </r>
  <r>
    <s v="FB005"/>
    <n v="42"/>
    <s v="Male"/>
    <n v="5"/>
    <x v="1"/>
    <s v="Loved the support team response."/>
  </r>
  <r>
    <s v="FB006"/>
    <n v="57"/>
    <s v="Female"/>
    <n v="5"/>
    <x v="1"/>
    <s v="Loved the support team response."/>
  </r>
  <r>
    <s v="FB007"/>
    <n v="57"/>
    <s v="Female"/>
    <n v="1"/>
    <x v="2"/>
    <s v="Product quality was poor."/>
  </r>
  <r>
    <s v="FB008"/>
    <n v="41"/>
    <s v="Female"/>
    <n v="3"/>
    <x v="0"/>
    <s v="Service was fine."/>
  </r>
  <r>
    <s v="FB009"/>
    <n v="58"/>
    <s v="Male"/>
    <n v="4"/>
    <x v="1"/>
    <s v="Great service, very satisfied."/>
  </r>
  <r>
    <s v="FB010"/>
    <n v="21"/>
    <s v="Male"/>
    <n v="5"/>
    <x v="1"/>
    <s v="Great service, very satisfied."/>
  </r>
  <r>
    <s v="FB011"/>
    <n v="27"/>
    <s v="Female"/>
    <n v="2"/>
    <x v="2"/>
    <s v="Not satisfied with the purchase."/>
  </r>
  <r>
    <s v="FB012"/>
    <n v="33"/>
    <s v="Male"/>
    <n v="2"/>
    <x v="2"/>
    <s v="Very disappointed."/>
  </r>
  <r>
    <s v="FB013"/>
    <n v="62"/>
    <s v="Female"/>
    <n v="2"/>
    <x v="2"/>
    <s v="Customer service was slow."/>
  </r>
  <r>
    <s v="FB014"/>
    <n v="42"/>
    <s v="Female"/>
    <n v="4"/>
    <x v="1"/>
    <s v="Product quality is excellent!"/>
  </r>
  <r>
    <s v="FB015"/>
    <n v="46"/>
    <s v="Female"/>
    <n v="2"/>
    <x v="2"/>
    <s v="Very disappointed."/>
  </r>
  <r>
    <s v="FB016"/>
    <n v="54"/>
    <s v="Female"/>
    <n v="2"/>
    <x v="2"/>
    <s v="Not satisfied with the purchase."/>
  </r>
  <r>
    <s v="FB017"/>
    <n v="25"/>
    <s v="Male"/>
    <n v="5"/>
    <x v="1"/>
    <s v="Great service, very satisfied."/>
  </r>
  <r>
    <s v="FB018"/>
    <n v="33"/>
    <s v="Male"/>
    <n v="2"/>
    <x v="2"/>
    <s v="Customer service was slow."/>
  </r>
  <r>
    <s v="FB019"/>
    <n v="51"/>
    <s v="Male"/>
    <n v="5"/>
    <x v="1"/>
    <s v="Loved the support team response."/>
  </r>
  <r>
    <s v="FB020"/>
    <n v="42"/>
    <s v="Female"/>
    <n v="3"/>
    <x v="0"/>
    <s v="It was okay, nothing special."/>
  </r>
  <r>
    <s v="FB021"/>
    <n v="56"/>
    <s v="Female"/>
    <n v="1"/>
    <x v="2"/>
    <s v="Product quality was poor."/>
  </r>
  <r>
    <s v="FB022"/>
    <n v="31"/>
    <s v="Male"/>
    <n v="2"/>
    <x v="2"/>
    <s v="Product quality was poor."/>
  </r>
  <r>
    <s v="FB023"/>
    <n v="30"/>
    <s v="Male"/>
    <n v="2"/>
    <x v="2"/>
    <s v="Not satisfied with the purchase."/>
  </r>
  <r>
    <s v="FB024"/>
    <n v="42"/>
    <s v="Female"/>
    <n v="3"/>
    <x v="0"/>
    <s v="Average experience."/>
  </r>
  <r>
    <s v="FB025"/>
    <n v="32"/>
    <s v="Female"/>
    <n v="1"/>
    <x v="2"/>
    <s v="Not satisfied with the purchase."/>
  </r>
  <r>
    <s v="FB026"/>
    <n v="48"/>
    <s v="Female"/>
    <n v="5"/>
    <x v="1"/>
    <s v="Loved the support team response."/>
  </r>
  <r>
    <s v="FB027"/>
    <n v="41"/>
    <s v="Female"/>
    <n v="4"/>
    <x v="1"/>
    <s v="Great service, very satisfied."/>
  </r>
  <r>
    <s v="FB028"/>
    <n v="54"/>
    <s v="Female"/>
    <n v="1"/>
    <x v="2"/>
    <s v="Bad experience, not recommended."/>
  </r>
  <r>
    <s v="FB029"/>
    <n v="42"/>
    <s v="Male"/>
    <n v="1"/>
    <x v="2"/>
    <s v="Product quality was poor."/>
  </r>
  <r>
    <s v="FB030"/>
    <n v="31"/>
    <s v="Female"/>
    <n v="5"/>
    <x v="1"/>
    <s v="Loved the support team response."/>
  </r>
  <r>
    <s v="FB031"/>
    <n v="34"/>
    <s v="Female"/>
    <n v="3"/>
    <x v="0"/>
    <s v="Not bad, not great."/>
  </r>
  <r>
    <s v="FB032"/>
    <n v="58"/>
    <s v="Female"/>
    <n v="4"/>
    <x v="1"/>
    <s v="Great service, very satisfied."/>
  </r>
  <r>
    <s v="FB033"/>
    <n v="61"/>
    <s v="Male"/>
    <n v="4"/>
    <x v="1"/>
    <s v="Amazing experience!"/>
  </r>
  <r>
    <s v="FB034"/>
    <n v="33"/>
    <s v="Male"/>
    <n v="2"/>
    <x v="2"/>
    <s v="Customer service was slow."/>
  </r>
  <r>
    <s v="FB035"/>
    <n v="64"/>
    <s v="Female"/>
    <n v="5"/>
    <x v="1"/>
    <s v="Loved the support team response."/>
  </r>
  <r>
    <s v="FB036"/>
    <n v="40"/>
    <s v="Female"/>
    <n v="5"/>
    <x v="1"/>
    <s v="Very helpful and quick."/>
  </r>
  <r>
    <s v="FB037"/>
    <n v="58"/>
    <s v="Female"/>
    <n v="5"/>
    <x v="1"/>
    <s v="Product quality is excellent!"/>
  </r>
  <r>
    <s v="FB038"/>
    <n v="43"/>
    <s v="Female"/>
    <n v="3"/>
    <x v="0"/>
    <s v="Satisfactory."/>
  </r>
  <r>
    <s v="FB039"/>
    <n v="35"/>
    <s v="Female"/>
    <n v="3"/>
    <x v="0"/>
    <s v="Satisfactory."/>
  </r>
  <r>
    <s v="FB040"/>
    <n v="22"/>
    <s v="Male"/>
    <n v="1"/>
    <x v="2"/>
    <s v="Customer service was slow."/>
  </r>
  <r>
    <s v="FB041"/>
    <n v="22"/>
    <s v="Female"/>
    <n v="4"/>
    <x v="1"/>
    <s v="Great service, very satisfied."/>
  </r>
  <r>
    <s v="FB042"/>
    <n v="65"/>
    <s v="Male"/>
    <n v="3"/>
    <x v="0"/>
    <s v="Satisfactory."/>
  </r>
  <r>
    <s v="FB043"/>
    <n v="49"/>
    <s v="Female"/>
    <n v="5"/>
    <x v="1"/>
    <s v="Amazing experience!"/>
  </r>
  <r>
    <s v="FB044"/>
    <n v="20"/>
    <s v="Female"/>
    <n v="1"/>
    <x v="2"/>
    <s v="Product quality was poor."/>
  </r>
  <r>
    <s v="FB045"/>
    <n v="63"/>
    <s v="Female"/>
    <n v="1"/>
    <x v="2"/>
    <s v="Not satisfied with the purchase."/>
  </r>
  <r>
    <s v="FB046"/>
    <n v="55"/>
    <s v="Female"/>
    <n v="1"/>
    <x v="2"/>
    <s v="Very disappointed."/>
  </r>
  <r>
    <s v="FB047"/>
    <n v="61"/>
    <s v="Male"/>
    <n v="5"/>
    <x v="1"/>
    <s v="Great service, very satisfied."/>
  </r>
  <r>
    <s v="FB048"/>
    <n v="29"/>
    <s v="Male"/>
    <n v="1"/>
    <x v="2"/>
    <s v="Product quality was poor."/>
  </r>
  <r>
    <s v="FB049"/>
    <n v="29"/>
    <s v="Male"/>
    <n v="4"/>
    <x v="1"/>
    <s v="Loved the support team response."/>
  </r>
  <r>
    <s v="FB050"/>
    <n v="31"/>
    <s v="Male"/>
    <n v="5"/>
    <x v="1"/>
    <s v="Product quality is excellent!"/>
  </r>
  <r>
    <s v="FB051"/>
    <n v="65"/>
    <s v="Female"/>
    <n v="3"/>
    <x v="0"/>
    <s v="It was okay, nothing special."/>
  </r>
  <r>
    <s v="FB052"/>
    <n v="60"/>
    <s v="Male"/>
    <n v="5"/>
    <x v="1"/>
    <s v="Product quality is excellent!"/>
  </r>
  <r>
    <s v="FB053"/>
    <n v="18"/>
    <s v="Female"/>
    <n v="2"/>
    <x v="2"/>
    <s v="Customer service was slow."/>
  </r>
  <r>
    <s v="FB054"/>
    <n v="29"/>
    <s v="Male"/>
    <n v="3"/>
    <x v="0"/>
    <s v="Not bad, not great."/>
  </r>
  <r>
    <s v="FB055"/>
    <n v="18"/>
    <s v="Female"/>
    <n v="1"/>
    <x v="2"/>
    <s v="Bad experience, not recommended."/>
  </r>
  <r>
    <s v="FB056"/>
    <n v="25"/>
    <s v="Male"/>
    <n v="3"/>
    <x v="0"/>
    <s v="It was okay, nothing special."/>
  </r>
  <r>
    <s v="FB057"/>
    <n v="42"/>
    <s v="Male"/>
    <n v="1"/>
    <x v="2"/>
    <s v="Customer service was slow."/>
  </r>
  <r>
    <s v="FB058"/>
    <n v="44"/>
    <s v="Male"/>
    <n v="3"/>
    <x v="0"/>
    <s v="Service was fine."/>
  </r>
  <r>
    <s v="FB059"/>
    <n v="37"/>
    <s v="Male"/>
    <n v="3"/>
    <x v="0"/>
    <s v="Average experience."/>
  </r>
  <r>
    <s v="FB060"/>
    <n v="39"/>
    <s v="Male"/>
    <n v="3"/>
    <x v="0"/>
    <s v="Satisfactory."/>
  </r>
  <r>
    <s v="FB061"/>
    <n v="23"/>
    <s v="Male"/>
    <n v="5"/>
    <x v="1"/>
    <s v="Very helpful and quick."/>
  </r>
  <r>
    <s v="FB062"/>
    <n v="30"/>
    <s v="Male"/>
    <n v="2"/>
    <x v="2"/>
    <s v="Very disappointed."/>
  </r>
  <r>
    <s v="FB063"/>
    <n v="29"/>
    <s v="Female"/>
    <n v="5"/>
    <x v="1"/>
    <s v="Very helpful and quick."/>
  </r>
  <r>
    <s v="FB064"/>
    <n v="45"/>
    <s v="Female"/>
    <n v="4"/>
    <x v="1"/>
    <s v="Amazing experience!"/>
  </r>
  <r>
    <s v="FB065"/>
    <n v="35"/>
    <s v="Female"/>
    <n v="4"/>
    <x v="1"/>
    <s v="Amazing experience!"/>
  </r>
  <r>
    <s v="FB066"/>
    <n v="29"/>
    <s v="Female"/>
    <n v="1"/>
    <x v="2"/>
    <s v="Bad experience, not recommended."/>
  </r>
  <r>
    <s v="FB067"/>
    <n v="40"/>
    <s v="Male"/>
    <n v="5"/>
    <x v="1"/>
    <s v="Product quality is excellent!"/>
  </r>
  <r>
    <s v="FB068"/>
    <n v="25"/>
    <s v="Female"/>
    <n v="5"/>
    <x v="1"/>
    <s v="Very helpful and quick."/>
  </r>
  <r>
    <s v="FB069"/>
    <n v="30"/>
    <s v="Female"/>
    <n v="4"/>
    <x v="1"/>
    <s v="Product quality is excellent!"/>
  </r>
  <r>
    <s v="FB070"/>
    <n v="28"/>
    <s v="Male"/>
    <n v="4"/>
    <x v="1"/>
    <s v="Amazing experience!"/>
  </r>
  <r>
    <s v="FB071"/>
    <n v="27"/>
    <s v="Male"/>
    <n v="1"/>
    <x v="2"/>
    <s v="Bad experience, not recommended."/>
  </r>
  <r>
    <s v="FB072"/>
    <n v="56"/>
    <s v="Male"/>
    <n v="5"/>
    <x v="1"/>
    <s v="Very helpful and quick."/>
  </r>
  <r>
    <s v="FB073"/>
    <n v="64"/>
    <s v="Female"/>
    <n v="3"/>
    <x v="0"/>
    <s v="Not bad, not great."/>
  </r>
  <r>
    <s v="FB074"/>
    <n v="47"/>
    <s v="Female"/>
    <n v="1"/>
    <x v="2"/>
    <s v="Bad experience, not recommended."/>
  </r>
  <r>
    <s v="FB075"/>
    <n v="19"/>
    <s v="Male"/>
    <n v="3"/>
    <x v="0"/>
    <s v="It was okay, nothing special."/>
  </r>
  <r>
    <s v="FB076"/>
    <n v="46"/>
    <s v="Female"/>
    <n v="5"/>
    <x v="1"/>
    <s v="Amazing experience!"/>
  </r>
  <r>
    <s v="FB077"/>
    <n v="55"/>
    <s v="Female"/>
    <n v="2"/>
    <x v="2"/>
    <s v="Very disappointed."/>
  </r>
  <r>
    <s v="FB078"/>
    <n v="38"/>
    <s v="Female"/>
    <n v="4"/>
    <x v="1"/>
    <s v="Very helpful and quick."/>
  </r>
  <r>
    <s v="FB079"/>
    <n v="47"/>
    <s v="Male"/>
    <n v="1"/>
    <x v="2"/>
    <s v="Product quality was poor."/>
  </r>
  <r>
    <s v="FB080"/>
    <n v="21"/>
    <s v="Female"/>
    <n v="2"/>
    <x v="2"/>
    <s v="Not satisfied with the purchase."/>
  </r>
  <r>
    <s v="FB081"/>
    <n v="47"/>
    <s v="Male"/>
    <n v="1"/>
    <x v="2"/>
    <s v="Product quality was poor."/>
  </r>
  <r>
    <s v="FB082"/>
    <n v="42"/>
    <s v="Female"/>
    <n v="3"/>
    <x v="0"/>
    <s v="Average experience."/>
  </r>
  <r>
    <s v="FB083"/>
    <n v="40"/>
    <s v="Female"/>
    <n v="3"/>
    <x v="0"/>
    <s v="Average experience."/>
  </r>
  <r>
    <s v="FB084"/>
    <n v="47"/>
    <s v="Female"/>
    <n v="1"/>
    <x v="2"/>
    <s v="Product quality was poor."/>
  </r>
  <r>
    <s v="FB085"/>
    <n v="53"/>
    <s v="Female"/>
    <n v="3"/>
    <x v="0"/>
    <s v="Not bad, not great."/>
  </r>
  <r>
    <s v="FB086"/>
    <n v="44"/>
    <s v="Female"/>
    <n v="3"/>
    <x v="0"/>
    <s v="Average experience."/>
  </r>
  <r>
    <s v="FB087"/>
    <n v="31"/>
    <s v="Male"/>
    <n v="2"/>
    <x v="2"/>
    <s v="Very disappointed."/>
  </r>
  <r>
    <s v="FB088"/>
    <n v="23"/>
    <s v="Female"/>
    <n v="5"/>
    <x v="1"/>
    <s v="Amazing experience!"/>
  </r>
  <r>
    <s v="FB089"/>
    <n v="33"/>
    <s v="Female"/>
    <n v="3"/>
    <x v="0"/>
    <s v="Service was fine."/>
  </r>
  <r>
    <s v="FB090"/>
    <n v="43"/>
    <s v="Male"/>
    <n v="3"/>
    <x v="0"/>
    <s v="It was okay, nothing special."/>
  </r>
  <r>
    <s v="FB091"/>
    <n v="47"/>
    <s v="Male"/>
    <n v="5"/>
    <x v="1"/>
    <s v="Amazing experience!"/>
  </r>
  <r>
    <s v="FB092"/>
    <n v="47"/>
    <s v="Male"/>
    <n v="5"/>
    <x v="1"/>
    <s v="Product quality is excellent!"/>
  </r>
  <r>
    <s v="FB093"/>
    <n v="51"/>
    <s v="Male"/>
    <n v="1"/>
    <x v="2"/>
    <s v="Very disappointed."/>
  </r>
  <r>
    <s v="FB094"/>
    <n v="58"/>
    <s v="Female"/>
    <n v="1"/>
    <x v="2"/>
    <s v="Product quality was poor."/>
  </r>
  <r>
    <s v="FB095"/>
    <n v="59"/>
    <s v="Male"/>
    <n v="2"/>
    <x v="2"/>
    <s v="Product quality was poor."/>
  </r>
  <r>
    <s v="FB096"/>
    <n v="44"/>
    <s v="Male"/>
    <n v="5"/>
    <x v="1"/>
    <s v="Great service, very satisfied."/>
  </r>
  <r>
    <s v="FB097"/>
    <n v="55"/>
    <s v="Male"/>
    <n v="3"/>
    <x v="0"/>
    <s v="Service was fine."/>
  </r>
  <r>
    <s v="FB098"/>
    <n v="49"/>
    <s v="Male"/>
    <n v="4"/>
    <x v="1"/>
    <s v="Amazing experience!"/>
  </r>
  <r>
    <s v="FB099"/>
    <n v="41"/>
    <s v="Female"/>
    <n v="5"/>
    <x v="1"/>
    <s v="Product quality is excellent!"/>
  </r>
  <r>
    <s v="FB100"/>
    <n v="36"/>
    <s v="Male"/>
    <n v="2"/>
    <x v="2"/>
    <s v="Very disappointed."/>
  </r>
  <r>
    <s v="FB101"/>
    <n v="29"/>
    <s v="Male"/>
    <n v="1"/>
    <x v="2"/>
    <s v="Not satisfied with the purchase."/>
  </r>
  <r>
    <s v="FB102"/>
    <n v="65"/>
    <s v="Male"/>
    <n v="1"/>
    <x v="2"/>
    <s v="Customer service was slow."/>
  </r>
  <r>
    <s v="FB103"/>
    <n v="42"/>
    <s v="Male"/>
    <n v="4"/>
    <x v="1"/>
    <s v="Very helpful and quick."/>
  </r>
  <r>
    <s v="FB104"/>
    <n v="25"/>
    <s v="Male"/>
    <n v="2"/>
    <x v="2"/>
    <s v="Customer service was slow."/>
  </r>
  <r>
    <s v="FB105"/>
    <n v="27"/>
    <s v="Male"/>
    <n v="2"/>
    <x v="2"/>
    <s v="Not satisfied with the purchase."/>
  </r>
  <r>
    <s v="FB106"/>
    <n v="46"/>
    <s v="Female"/>
    <n v="2"/>
    <x v="2"/>
    <s v="Product quality was poor."/>
  </r>
  <r>
    <s v="FB107"/>
    <n v="35"/>
    <s v="Female"/>
    <n v="2"/>
    <x v="2"/>
    <s v="Customer service was slow."/>
  </r>
  <r>
    <s v="FB108"/>
    <n v="23"/>
    <s v="Female"/>
    <n v="2"/>
    <x v="2"/>
    <s v="Bad experience, not recommended."/>
  </r>
  <r>
    <s v="FB109"/>
    <n v="52"/>
    <s v="Female"/>
    <n v="3"/>
    <x v="0"/>
    <s v="It was okay, nothing special."/>
  </r>
  <r>
    <s v="FB110"/>
    <n v="48"/>
    <s v="Female"/>
    <n v="1"/>
    <x v="2"/>
    <s v="Very disappointed."/>
  </r>
  <r>
    <s v="FB111"/>
    <n v="46"/>
    <s v="Male"/>
    <n v="5"/>
    <x v="1"/>
    <s v="Amazing experience!"/>
  </r>
  <r>
    <s v="FB112"/>
    <n v="34"/>
    <s v="Male"/>
    <n v="2"/>
    <x v="2"/>
    <s v="Bad experience, not recommended."/>
  </r>
  <r>
    <s v="FB113"/>
    <n v="35"/>
    <s v="Male"/>
    <n v="2"/>
    <x v="2"/>
    <s v="Bad experience, not recommended."/>
  </r>
  <r>
    <s v="FB114"/>
    <n v="53"/>
    <s v="Male"/>
    <n v="3"/>
    <x v="0"/>
    <s v="Satisfactory."/>
  </r>
  <r>
    <s v="FB115"/>
    <n v="22"/>
    <s v="Male"/>
    <n v="2"/>
    <x v="2"/>
    <s v="Product quality was poor."/>
  </r>
  <r>
    <s v="FB116"/>
    <n v="62"/>
    <s v="Female"/>
    <n v="4"/>
    <x v="1"/>
    <s v="Product quality is excellent!"/>
  </r>
  <r>
    <s v="FB117"/>
    <n v="48"/>
    <s v="Male"/>
    <n v="3"/>
    <x v="0"/>
    <s v="Not bad, not great."/>
  </r>
  <r>
    <s v="FB118"/>
    <n v="57"/>
    <s v="Female"/>
    <n v="1"/>
    <x v="2"/>
    <s v="Very disappointed."/>
  </r>
  <r>
    <s v="FB119"/>
    <n v="22"/>
    <s v="Male"/>
    <n v="3"/>
    <x v="0"/>
    <s v="Satisfactory."/>
  </r>
  <r>
    <s v="FB120"/>
    <n v="46"/>
    <s v="Male"/>
    <n v="1"/>
    <x v="2"/>
    <s v="Bad experience, not recommended."/>
  </r>
  <r>
    <s v="FB121"/>
    <n v="60"/>
    <s v="Female"/>
    <n v="5"/>
    <x v="1"/>
    <s v="Amazing experience!"/>
  </r>
  <r>
    <s v="FB122"/>
    <n v="49"/>
    <s v="Male"/>
    <n v="2"/>
    <x v="2"/>
    <s v="Very disappointed."/>
  </r>
  <r>
    <s v="FB123"/>
    <n v="63"/>
    <s v="Female"/>
    <n v="2"/>
    <x v="2"/>
    <s v="Customer service was slow."/>
  </r>
  <r>
    <s v="FB124"/>
    <n v="55"/>
    <s v="Female"/>
    <n v="5"/>
    <x v="1"/>
    <s v="Great service, very satisfied."/>
  </r>
  <r>
    <s v="FB125"/>
    <n v="24"/>
    <s v="Male"/>
    <n v="5"/>
    <x v="1"/>
    <s v="Great service, very satisfied."/>
  </r>
  <r>
    <s v="FB126"/>
    <n v="53"/>
    <s v="Female"/>
    <n v="5"/>
    <x v="1"/>
    <s v="Product quality is excellent!"/>
  </r>
  <r>
    <s v="FB127"/>
    <n v="20"/>
    <s v="Female"/>
    <n v="2"/>
    <x v="2"/>
    <s v="Very disappointed."/>
  </r>
  <r>
    <s v="FB128"/>
    <n v="25"/>
    <s v="Female"/>
    <n v="2"/>
    <x v="2"/>
    <s v="Bad experience, not recommended."/>
  </r>
  <r>
    <s v="FB129"/>
    <n v="57"/>
    <s v="Male"/>
    <n v="3"/>
    <x v="0"/>
    <s v="It was okay, nothing special."/>
  </r>
  <r>
    <s v="FB130"/>
    <n v="36"/>
    <s v="Female"/>
    <n v="2"/>
    <x v="2"/>
    <s v="Bad experience, not recommended."/>
  </r>
  <r>
    <s v="FB131"/>
    <n v="44"/>
    <s v="Male"/>
    <n v="4"/>
    <x v="1"/>
    <s v="Amazing experience!"/>
  </r>
  <r>
    <s v="FB132"/>
    <n v="34"/>
    <s v="Female"/>
    <n v="5"/>
    <x v="1"/>
    <s v="Loved the support team response."/>
  </r>
  <r>
    <s v="FB133"/>
    <n v="31"/>
    <s v="Female"/>
    <n v="2"/>
    <x v="2"/>
    <s v="Product quality was poor."/>
  </r>
  <r>
    <s v="FB134"/>
    <n v="21"/>
    <s v="Male"/>
    <n v="5"/>
    <x v="1"/>
    <s v="Loved the support team response."/>
  </r>
  <r>
    <s v="FB135"/>
    <n v="33"/>
    <s v="Male"/>
    <n v="1"/>
    <x v="2"/>
    <s v="Product quality was poor."/>
  </r>
  <r>
    <s v="FB136"/>
    <n v="26"/>
    <s v="Female"/>
    <n v="4"/>
    <x v="1"/>
    <s v="Very helpful and quick."/>
  </r>
  <r>
    <s v="FB137"/>
    <n v="42"/>
    <s v="Male"/>
    <n v="2"/>
    <x v="2"/>
    <s v="Very disappointed."/>
  </r>
  <r>
    <s v="FB138"/>
    <n v="55"/>
    <s v="Female"/>
    <n v="1"/>
    <x v="2"/>
    <s v="Product quality was poor."/>
  </r>
  <r>
    <s v="FB139"/>
    <n v="64"/>
    <s v="Female"/>
    <n v="2"/>
    <x v="2"/>
    <s v="Product quality was poor."/>
  </r>
  <r>
    <s v="FB140"/>
    <n v="28"/>
    <s v="Male"/>
    <n v="2"/>
    <x v="2"/>
    <s v="Bad experience, not recommended."/>
  </r>
  <r>
    <s v="FB141"/>
    <n v="34"/>
    <s v="Male"/>
    <n v="3"/>
    <x v="0"/>
    <s v="Satisfactory."/>
  </r>
  <r>
    <s v="FB142"/>
    <n v="49"/>
    <s v="Male"/>
    <n v="5"/>
    <x v="1"/>
    <s v="Very helpful and quick."/>
  </r>
  <r>
    <s v="FB143"/>
    <n v="26"/>
    <s v="Male"/>
    <n v="1"/>
    <x v="2"/>
    <s v="Bad experience, not recommended."/>
  </r>
  <r>
    <s v="FB144"/>
    <n v="44"/>
    <s v="Male"/>
    <n v="1"/>
    <x v="2"/>
    <s v="Very disappointed."/>
  </r>
  <r>
    <s v="FB145"/>
    <n v="50"/>
    <s v="Male"/>
    <n v="4"/>
    <x v="1"/>
    <s v="Very helpful and quick."/>
  </r>
  <r>
    <s v="FB146"/>
    <n v="61"/>
    <s v="Female"/>
    <n v="2"/>
    <x v="2"/>
    <s v="Bad experience, not recommended."/>
  </r>
  <r>
    <s v="FB147"/>
    <n v="59"/>
    <s v="Male"/>
    <n v="5"/>
    <x v="1"/>
    <s v="Very helpful and quick."/>
  </r>
  <r>
    <s v="FB148"/>
    <n v="24"/>
    <s v="Male"/>
    <n v="1"/>
    <x v="2"/>
    <s v="Product quality was poor."/>
  </r>
  <r>
    <s v="FB149"/>
    <n v="40"/>
    <s v="Male"/>
    <n v="5"/>
    <x v="1"/>
    <s v="Great service, very satisfied."/>
  </r>
  <r>
    <s v="FB150"/>
    <n v="56"/>
    <s v="Female"/>
    <n v="2"/>
    <x v="2"/>
    <s v="Not satisfied with the purchase."/>
  </r>
  <r>
    <s v="FB151"/>
    <n v="63"/>
    <s v="Female"/>
    <n v="3"/>
    <x v="0"/>
    <s v="Not bad, not great."/>
  </r>
  <r>
    <s v="FB152"/>
    <n v="27"/>
    <s v="Male"/>
    <n v="2"/>
    <x v="2"/>
    <s v="Not satisfied with the purchase."/>
  </r>
  <r>
    <s v="FB153"/>
    <n v="30"/>
    <s v="Female"/>
    <n v="5"/>
    <x v="1"/>
    <s v="Loved the support team response."/>
  </r>
  <r>
    <s v="FB154"/>
    <n v="22"/>
    <s v="Female"/>
    <n v="4"/>
    <x v="1"/>
    <s v="Loved the support team response."/>
  </r>
  <r>
    <s v="FB155"/>
    <n v="54"/>
    <s v="Female"/>
    <n v="2"/>
    <x v="2"/>
    <s v="Bad experience, not recommended."/>
  </r>
  <r>
    <s v="FB156"/>
    <n v="65"/>
    <s v="Male"/>
    <n v="5"/>
    <x v="1"/>
    <s v="Amazing experience!"/>
  </r>
  <r>
    <s v="FB157"/>
    <n v="43"/>
    <s v="Male"/>
    <n v="1"/>
    <x v="2"/>
    <s v="Bad experience, not recommended."/>
  </r>
  <r>
    <s v="FB158"/>
    <n v="46"/>
    <s v="Male"/>
    <n v="2"/>
    <x v="2"/>
    <s v="Product quality was poor."/>
  </r>
  <r>
    <s v="FB159"/>
    <n v="20"/>
    <s v="Female"/>
    <n v="3"/>
    <x v="0"/>
    <s v="Satisfactory."/>
  </r>
  <r>
    <s v="FB160"/>
    <n v="26"/>
    <s v="Female"/>
    <n v="5"/>
    <x v="1"/>
    <s v="Loved the support team response."/>
  </r>
  <r>
    <s v="FB161"/>
    <n v="64"/>
    <s v="Female"/>
    <n v="4"/>
    <x v="1"/>
    <s v="Amazing experience!"/>
  </r>
  <r>
    <s v="FB162"/>
    <n v="36"/>
    <s v="Female"/>
    <n v="2"/>
    <x v="2"/>
    <s v="Very disappointed."/>
  </r>
  <r>
    <s v="FB163"/>
    <n v="31"/>
    <s v="Female"/>
    <n v="2"/>
    <x v="2"/>
    <s v="Not satisfied with the purchase."/>
  </r>
  <r>
    <s v="FB164"/>
    <n v="43"/>
    <s v="Male"/>
    <n v="4"/>
    <x v="1"/>
    <s v="Product quality is excellent!"/>
  </r>
  <r>
    <s v="FB165"/>
    <n v="46"/>
    <s v="Female"/>
    <n v="3"/>
    <x v="0"/>
    <s v="Average experience."/>
  </r>
  <r>
    <s v="FB166"/>
    <n v="49"/>
    <s v="Female"/>
    <n v="2"/>
    <x v="2"/>
    <s v="Not satisfied with the purchase."/>
  </r>
  <r>
    <s v="FB167"/>
    <n v="43"/>
    <s v="Male"/>
    <n v="4"/>
    <x v="1"/>
    <s v="Very helpful and quick."/>
  </r>
  <r>
    <s v="FB168"/>
    <n v="64"/>
    <s v="Female"/>
    <n v="1"/>
    <x v="2"/>
    <s v="Product quality was poor."/>
  </r>
  <r>
    <s v="FB169"/>
    <n v="49"/>
    <s v="Male"/>
    <n v="1"/>
    <x v="2"/>
    <s v="Bad experience, not recommended."/>
  </r>
  <r>
    <s v="FB170"/>
    <n v="35"/>
    <s v="Female"/>
    <n v="2"/>
    <x v="2"/>
    <s v="Not satisfied with the purchase."/>
  </r>
  <r>
    <s v="FB171"/>
    <n v="24"/>
    <s v="Male"/>
    <n v="1"/>
    <x v="2"/>
    <s v="Product quality was poor."/>
  </r>
  <r>
    <s v="FB172"/>
    <n v="41"/>
    <s v="Female"/>
    <n v="3"/>
    <x v="0"/>
    <s v="Average experience."/>
  </r>
  <r>
    <s v="FB173"/>
    <n v="28"/>
    <s v="Male"/>
    <n v="3"/>
    <x v="0"/>
    <s v="Satisfactory."/>
  </r>
  <r>
    <s v="FB174"/>
    <n v="39"/>
    <s v="Female"/>
    <n v="4"/>
    <x v="1"/>
    <s v="Very helpful and quick."/>
  </r>
  <r>
    <s v="FB175"/>
    <n v="51"/>
    <s v="Female"/>
    <n v="3"/>
    <x v="0"/>
    <s v="Average experience."/>
  </r>
  <r>
    <s v="FB176"/>
    <n v="61"/>
    <s v="Female"/>
    <n v="4"/>
    <x v="1"/>
    <s v="Very helpful and quick."/>
  </r>
  <r>
    <s v="FB177"/>
    <n v="19"/>
    <s v="Male"/>
    <n v="4"/>
    <x v="1"/>
    <s v="Very helpful and quick."/>
  </r>
  <r>
    <s v="FB178"/>
    <n v="60"/>
    <s v="Male"/>
    <n v="4"/>
    <x v="1"/>
    <s v="Great service, very satisfied."/>
  </r>
  <r>
    <s v="FB179"/>
    <n v="19"/>
    <s v="Male"/>
    <n v="1"/>
    <x v="2"/>
    <s v="Customer service was slow."/>
  </r>
  <r>
    <s v="FB180"/>
    <n v="63"/>
    <s v="Male"/>
    <n v="1"/>
    <x v="2"/>
    <s v="Very disappointed."/>
  </r>
  <r>
    <s v="FB181"/>
    <n v="22"/>
    <s v="Female"/>
    <n v="5"/>
    <x v="1"/>
    <s v="Product quality is excellent!"/>
  </r>
  <r>
    <s v="FB182"/>
    <n v="34"/>
    <s v="Male"/>
    <n v="5"/>
    <x v="1"/>
    <s v="Great service, very satisfied."/>
  </r>
  <r>
    <s v="FB183"/>
    <n v="27"/>
    <s v="Male"/>
    <n v="2"/>
    <x v="2"/>
    <s v="Very disappointed."/>
  </r>
  <r>
    <s v="FB184"/>
    <n v="24"/>
    <s v="Male"/>
    <n v="5"/>
    <x v="1"/>
    <s v="Great service, very satisfied."/>
  </r>
  <r>
    <s v="FB185"/>
    <n v="56"/>
    <s v="Female"/>
    <n v="1"/>
    <x v="2"/>
    <s v="Customer service was slow."/>
  </r>
  <r>
    <s v="FB186"/>
    <n v="32"/>
    <s v="Female"/>
    <n v="3"/>
    <x v="0"/>
    <s v="Satisfactory."/>
  </r>
  <r>
    <s v="FB187"/>
    <n v="30"/>
    <s v="Male"/>
    <n v="2"/>
    <x v="2"/>
    <s v="Not satisfied with the purchase."/>
  </r>
  <r>
    <s v="FB188"/>
    <n v="56"/>
    <s v="Female"/>
    <n v="1"/>
    <x v="2"/>
    <s v="Product quality was poor."/>
  </r>
  <r>
    <s v="FB189"/>
    <n v="59"/>
    <s v="Male"/>
    <n v="2"/>
    <x v="2"/>
    <s v="Customer service was slow."/>
  </r>
  <r>
    <s v="FB190"/>
    <n v="38"/>
    <s v="Male"/>
    <n v="3"/>
    <x v="0"/>
    <s v="Service was fine."/>
  </r>
  <r>
    <s v="FB191"/>
    <n v="61"/>
    <s v="Male"/>
    <n v="3"/>
    <x v="0"/>
    <s v="Not bad, not great."/>
  </r>
  <r>
    <s v="FB192"/>
    <n v="47"/>
    <s v="Male"/>
    <n v="4"/>
    <x v="1"/>
    <s v="Product quality is excellent!"/>
  </r>
  <r>
    <s v="FB193"/>
    <n v="35"/>
    <s v="Male"/>
    <n v="4"/>
    <x v="1"/>
    <s v="Product quality is excellent!"/>
  </r>
  <r>
    <s v="FB194"/>
    <n v="52"/>
    <s v="Female"/>
    <n v="5"/>
    <x v="1"/>
    <s v="Amazing experience!"/>
  </r>
  <r>
    <s v="FB195"/>
    <n v="48"/>
    <s v="Male"/>
    <n v="2"/>
    <x v="2"/>
    <s v="Not satisfied with the purchase."/>
  </r>
  <r>
    <s v="FB196"/>
    <n v="24"/>
    <s v="Male"/>
    <n v="5"/>
    <x v="1"/>
    <s v="Amazing experience!"/>
  </r>
  <r>
    <s v="FB197"/>
    <n v="26"/>
    <s v="Male"/>
    <n v="1"/>
    <x v="2"/>
    <s v="Product quality was poor."/>
  </r>
  <r>
    <s v="FB198"/>
    <n v="42"/>
    <s v="Male"/>
    <n v="4"/>
    <x v="1"/>
    <s v="Very helpful and quick."/>
  </r>
  <r>
    <s v="FB199"/>
    <n v="36"/>
    <s v="Male"/>
    <n v="1"/>
    <x v="2"/>
    <s v="Product quality was poor."/>
  </r>
  <r>
    <s v="FB200"/>
    <n v="49"/>
    <s v="Male"/>
    <n v="1"/>
    <x v="2"/>
    <s v="Not satisfied with the purchase."/>
  </r>
  <r>
    <s v="FB201"/>
    <n v="47"/>
    <s v="Female"/>
    <n v="4"/>
    <x v="1"/>
    <s v="Very helpful and quick."/>
  </r>
  <r>
    <s v="FB202"/>
    <n v="34"/>
    <s v="Female"/>
    <n v="5"/>
    <x v="1"/>
    <s v="Very helpful and quick."/>
  </r>
  <r>
    <s v="FB203"/>
    <n v="48"/>
    <s v="Male"/>
    <n v="4"/>
    <x v="1"/>
    <s v="Loved the support team response."/>
  </r>
  <r>
    <s v="FB204"/>
    <n v="62"/>
    <s v="Male"/>
    <n v="3"/>
    <x v="0"/>
    <s v="Not bad, not great."/>
  </r>
  <r>
    <s v="FB205"/>
    <n v="43"/>
    <s v="Female"/>
    <n v="4"/>
    <x v="1"/>
    <s v="Loved the support team response."/>
  </r>
  <r>
    <s v="FB206"/>
    <n v="50"/>
    <s v="Female"/>
    <n v="5"/>
    <x v="1"/>
    <s v="Very helpful and quick."/>
  </r>
  <r>
    <s v="FB207"/>
    <n v="38"/>
    <s v="Male"/>
    <n v="2"/>
    <x v="2"/>
    <s v="Very disappointed."/>
  </r>
  <r>
    <s v="FB208"/>
    <n v="22"/>
    <s v="Male"/>
    <n v="4"/>
    <x v="1"/>
    <s v="Loved the support team response."/>
  </r>
  <r>
    <s v="FB209"/>
    <n v="26"/>
    <s v="Male"/>
    <n v="4"/>
    <x v="1"/>
    <s v="Amazing experience!"/>
  </r>
  <r>
    <s v="FB210"/>
    <n v="38"/>
    <s v="Male"/>
    <n v="3"/>
    <x v="0"/>
    <s v="Not bad, not great."/>
  </r>
  <r>
    <s v="FB211"/>
    <n v="62"/>
    <s v="Male"/>
    <n v="1"/>
    <x v="2"/>
    <s v="Very disappointed."/>
  </r>
  <r>
    <s v="FB212"/>
    <n v="42"/>
    <s v="Male"/>
    <n v="2"/>
    <x v="2"/>
    <s v="Customer service was slow."/>
  </r>
  <r>
    <s v="FB213"/>
    <n v="62"/>
    <s v="Female"/>
    <n v="5"/>
    <x v="1"/>
    <s v="Very helpful and quick."/>
  </r>
  <r>
    <s v="FB214"/>
    <n v="37"/>
    <s v="Female"/>
    <n v="4"/>
    <x v="1"/>
    <s v="Very helpful and quick."/>
  </r>
  <r>
    <s v="FB215"/>
    <n v="45"/>
    <s v="Female"/>
    <n v="2"/>
    <x v="2"/>
    <s v="Bad experience, not recommended."/>
  </r>
  <r>
    <s v="FB216"/>
    <n v="44"/>
    <s v="Male"/>
    <n v="5"/>
    <x v="1"/>
    <s v="Product quality is excellent!"/>
  </r>
  <r>
    <s v="FB217"/>
    <n v="61"/>
    <s v="Female"/>
    <n v="4"/>
    <x v="1"/>
    <s v="Product quality is excellent!"/>
  </r>
  <r>
    <s v="FB218"/>
    <n v="34"/>
    <s v="Male"/>
    <n v="4"/>
    <x v="1"/>
    <s v="Loved the support team response."/>
  </r>
  <r>
    <s v="FB219"/>
    <n v="60"/>
    <s v="Female"/>
    <n v="4"/>
    <x v="1"/>
    <s v="Loved the support team response."/>
  </r>
  <r>
    <s v="FB220"/>
    <n v="24"/>
    <s v="Male"/>
    <n v="4"/>
    <x v="1"/>
    <s v="Very helpful and quick."/>
  </r>
  <r>
    <s v="FB221"/>
    <n v="51"/>
    <s v="Male"/>
    <n v="1"/>
    <x v="2"/>
    <s v="Not satisfied with the purchase."/>
  </r>
  <r>
    <s v="FB222"/>
    <n v="59"/>
    <s v="Male"/>
    <n v="4"/>
    <x v="1"/>
    <s v="Very helpful and quick."/>
  </r>
  <r>
    <s v="FB223"/>
    <n v="47"/>
    <s v="Male"/>
    <n v="4"/>
    <x v="1"/>
    <s v="Product quality is excellent!"/>
  </r>
  <r>
    <s v="FB224"/>
    <n v="43"/>
    <s v="Female"/>
    <n v="2"/>
    <x v="2"/>
    <s v="Product quality was poor."/>
  </r>
  <r>
    <s v="FB225"/>
    <n v="65"/>
    <s v="Male"/>
    <n v="1"/>
    <x v="2"/>
    <s v="Bad experience, not recommended."/>
  </r>
  <r>
    <s v="FB226"/>
    <n v="33"/>
    <s v="Female"/>
    <n v="3"/>
    <x v="0"/>
    <s v="It was okay, nothing special."/>
  </r>
  <r>
    <s v="FB227"/>
    <n v="53"/>
    <s v="Male"/>
    <n v="2"/>
    <x v="2"/>
    <s v="Customer service was slow."/>
  </r>
  <r>
    <s v="FB228"/>
    <n v="44"/>
    <s v="Male"/>
    <n v="5"/>
    <x v="1"/>
    <s v="Product quality is excellent!"/>
  </r>
  <r>
    <s v="FB229"/>
    <n v="54"/>
    <s v="Male"/>
    <n v="5"/>
    <x v="1"/>
    <s v="Amazing experience!"/>
  </r>
  <r>
    <s v="FB230"/>
    <n v="48"/>
    <s v="Male"/>
    <n v="1"/>
    <x v="2"/>
    <s v="Very disappointed."/>
  </r>
  <r>
    <s v="FB231"/>
    <n v="48"/>
    <s v="Female"/>
    <n v="3"/>
    <x v="0"/>
    <s v="It was okay, nothing special."/>
  </r>
  <r>
    <s v="FB232"/>
    <n v="23"/>
    <s v="Male"/>
    <n v="2"/>
    <x v="2"/>
    <s v="Very disappointed."/>
  </r>
  <r>
    <s v="FB233"/>
    <n v="48"/>
    <s v="Male"/>
    <n v="3"/>
    <x v="0"/>
    <s v="Average experience."/>
  </r>
  <r>
    <s v="FB234"/>
    <n v="26"/>
    <s v="Male"/>
    <n v="2"/>
    <x v="2"/>
    <s v="Not satisfied with the purchase."/>
  </r>
  <r>
    <s v="FB235"/>
    <n v="43"/>
    <s v="Female"/>
    <n v="5"/>
    <x v="1"/>
    <s v="Amazing experience!"/>
  </r>
  <r>
    <s v="FB236"/>
    <n v="34"/>
    <s v="Male"/>
    <n v="4"/>
    <x v="1"/>
    <s v="Great service, very satisfied."/>
  </r>
  <r>
    <s v="FB237"/>
    <n v="34"/>
    <s v="Female"/>
    <n v="2"/>
    <x v="2"/>
    <s v="Customer service was slow."/>
  </r>
  <r>
    <s v="FB238"/>
    <n v="57"/>
    <s v="Female"/>
    <n v="1"/>
    <x v="2"/>
    <s v="Very disappointed."/>
  </r>
  <r>
    <s v="FB239"/>
    <n v="65"/>
    <s v="Female"/>
    <n v="3"/>
    <x v="0"/>
    <s v="Average experience."/>
  </r>
  <r>
    <s v="FB240"/>
    <n v="53"/>
    <s v="Female"/>
    <n v="4"/>
    <x v="1"/>
    <s v="Loved the support team response."/>
  </r>
  <r>
    <s v="FB241"/>
    <n v="38"/>
    <s v="Male"/>
    <n v="4"/>
    <x v="1"/>
    <s v="Very helpful and quick."/>
  </r>
  <r>
    <s v="FB242"/>
    <n v="38"/>
    <s v="Male"/>
    <n v="3"/>
    <x v="0"/>
    <s v="Service was fine."/>
  </r>
  <r>
    <s v="FB243"/>
    <n v="37"/>
    <s v="Male"/>
    <n v="3"/>
    <x v="0"/>
    <s v="Service was fine."/>
  </r>
  <r>
    <s v="FB244"/>
    <n v="18"/>
    <s v="Male"/>
    <n v="2"/>
    <x v="2"/>
    <s v="Not satisfied with the purchase."/>
  </r>
  <r>
    <s v="FB245"/>
    <n v="51"/>
    <s v="Male"/>
    <n v="3"/>
    <x v="0"/>
    <s v="It was okay, nothing special."/>
  </r>
  <r>
    <s v="FB246"/>
    <n v="32"/>
    <s v="Female"/>
    <n v="5"/>
    <x v="1"/>
    <s v="Loved the support team response."/>
  </r>
  <r>
    <s v="FB247"/>
    <n v="26"/>
    <s v="Male"/>
    <n v="3"/>
    <x v="0"/>
    <s v="Not bad, not great."/>
  </r>
  <r>
    <s v="FB248"/>
    <n v="30"/>
    <s v="Male"/>
    <n v="1"/>
    <x v="2"/>
    <s v="Product quality was poor."/>
  </r>
  <r>
    <s v="FB249"/>
    <n v="25"/>
    <s v="Female"/>
    <n v="1"/>
    <x v="2"/>
    <s v="Very disappointed."/>
  </r>
  <r>
    <s v="FB250"/>
    <n v="22"/>
    <s v="Male"/>
    <n v="2"/>
    <x v="2"/>
    <s v="Bad experience, not recommended."/>
  </r>
  <r>
    <s v="FB251"/>
    <n v="59"/>
    <s v="Female"/>
    <n v="2"/>
    <x v="2"/>
    <s v="Very disappointed."/>
  </r>
  <r>
    <s v="FB252"/>
    <n v="48"/>
    <s v="Male"/>
    <n v="1"/>
    <x v="2"/>
    <s v="Customer service was slow."/>
  </r>
  <r>
    <s v="FB253"/>
    <n v="47"/>
    <s v="Female"/>
    <n v="4"/>
    <x v="1"/>
    <s v="Great service, very satisfied."/>
  </r>
  <r>
    <s v="FB254"/>
    <n v="21"/>
    <s v="Female"/>
    <n v="3"/>
    <x v="0"/>
    <s v="It was okay, nothing special."/>
  </r>
  <r>
    <s v="FB255"/>
    <n v="26"/>
    <s v="Female"/>
    <n v="4"/>
    <x v="1"/>
    <s v="Great service, very satisfied."/>
  </r>
  <r>
    <s v="FB256"/>
    <n v="52"/>
    <s v="Female"/>
    <n v="4"/>
    <x v="1"/>
    <s v="Loved the support team response."/>
  </r>
  <r>
    <s v="FB257"/>
    <n v="38"/>
    <s v="Male"/>
    <n v="2"/>
    <x v="2"/>
    <s v="Bad experience, not recommended."/>
  </r>
  <r>
    <s v="FB258"/>
    <n v="37"/>
    <s v="Female"/>
    <n v="2"/>
    <x v="2"/>
    <s v="Very disappointed."/>
  </r>
  <r>
    <s v="FB259"/>
    <n v="26"/>
    <s v="Female"/>
    <n v="5"/>
    <x v="1"/>
    <s v="Very helpful and quick."/>
  </r>
  <r>
    <s v="FB260"/>
    <n v="29"/>
    <s v="Male"/>
    <n v="4"/>
    <x v="1"/>
    <s v="Very helpful and quick."/>
  </r>
  <r>
    <s v="FB261"/>
    <n v="46"/>
    <s v="Female"/>
    <n v="4"/>
    <x v="1"/>
    <s v="Great service, very satisfied."/>
  </r>
  <r>
    <s v="FB262"/>
    <n v="27"/>
    <s v="Male"/>
    <n v="5"/>
    <x v="1"/>
    <s v="Amazing experience!"/>
  </r>
  <r>
    <s v="FB263"/>
    <n v="49"/>
    <s v="Male"/>
    <n v="1"/>
    <x v="2"/>
    <s v="Customer service was slow."/>
  </r>
  <r>
    <s v="FB264"/>
    <n v="63"/>
    <s v="Female"/>
    <n v="4"/>
    <x v="1"/>
    <s v="Great service, very satisfied."/>
  </r>
  <r>
    <s v="FB265"/>
    <n v="36"/>
    <s v="Female"/>
    <n v="4"/>
    <x v="1"/>
    <s v="Loved the support team response."/>
  </r>
  <r>
    <s v="FB266"/>
    <n v="38"/>
    <s v="Female"/>
    <n v="5"/>
    <x v="1"/>
    <s v="Product quality is excellent!"/>
  </r>
  <r>
    <s v="FB267"/>
    <n v="39"/>
    <s v="Female"/>
    <n v="3"/>
    <x v="0"/>
    <s v="Service was fine."/>
  </r>
  <r>
    <s v="FB268"/>
    <n v="23"/>
    <s v="Female"/>
    <n v="2"/>
    <x v="2"/>
    <s v="Product quality was poor."/>
  </r>
  <r>
    <s v="FB269"/>
    <n v="36"/>
    <s v="Female"/>
    <n v="5"/>
    <x v="1"/>
    <s v="Great service, very satisfied."/>
  </r>
  <r>
    <s v="FB270"/>
    <n v="53"/>
    <s v="Male"/>
    <n v="5"/>
    <x v="1"/>
    <s v="Loved the support team response."/>
  </r>
  <r>
    <s v="FB271"/>
    <n v="43"/>
    <s v="Female"/>
    <n v="1"/>
    <x v="2"/>
    <s v="Customer service was slow."/>
  </r>
  <r>
    <s v="FB272"/>
    <n v="60"/>
    <s v="Male"/>
    <n v="4"/>
    <x v="1"/>
    <s v="Great service, very satisfied."/>
  </r>
  <r>
    <s v="FB273"/>
    <n v="33"/>
    <s v="Female"/>
    <n v="1"/>
    <x v="2"/>
    <s v="Not satisfied with the purchase."/>
  </r>
  <r>
    <s v="FB274"/>
    <n v="57"/>
    <s v="Male"/>
    <n v="2"/>
    <x v="2"/>
    <s v="Very disappointed."/>
  </r>
  <r>
    <s v="FB275"/>
    <n v="27"/>
    <s v="Male"/>
    <n v="3"/>
    <x v="0"/>
    <s v="It was okay, nothing special."/>
  </r>
  <r>
    <s v="FB276"/>
    <n v="60"/>
    <s v="Female"/>
    <n v="4"/>
    <x v="1"/>
    <s v="Great service, very satisfied."/>
  </r>
  <r>
    <s v="FB277"/>
    <n v="50"/>
    <s v="Female"/>
    <n v="1"/>
    <x v="2"/>
    <s v="Very disappointed."/>
  </r>
  <r>
    <s v="FB278"/>
    <n v="51"/>
    <s v="Female"/>
    <n v="1"/>
    <x v="2"/>
    <s v="Very disappointed."/>
  </r>
  <r>
    <s v="FB279"/>
    <n v="25"/>
    <s v="Male"/>
    <n v="5"/>
    <x v="1"/>
    <s v="Very helpful and quick."/>
  </r>
  <r>
    <s v="FB280"/>
    <n v="35"/>
    <s v="Female"/>
    <n v="5"/>
    <x v="1"/>
    <s v="Very helpful and quick."/>
  </r>
  <r>
    <s v="FB281"/>
    <n v="48"/>
    <s v="Female"/>
    <n v="4"/>
    <x v="1"/>
    <s v="Very helpful and quick."/>
  </r>
  <r>
    <s v="FB282"/>
    <n v="56"/>
    <s v="Female"/>
    <n v="5"/>
    <x v="1"/>
    <s v="Great service, very satisfied."/>
  </r>
  <r>
    <s v="FB283"/>
    <n v="62"/>
    <s v="Female"/>
    <n v="5"/>
    <x v="1"/>
    <s v="Great service, very satisfied."/>
  </r>
  <r>
    <s v="FB284"/>
    <n v="48"/>
    <s v="Female"/>
    <n v="5"/>
    <x v="1"/>
    <s v="Great service, very satisfied."/>
  </r>
  <r>
    <s v="FB285"/>
    <n v="65"/>
    <s v="Male"/>
    <n v="2"/>
    <x v="2"/>
    <s v="Product quality was poor."/>
  </r>
  <r>
    <s v="FB286"/>
    <n v="46"/>
    <s v="Female"/>
    <n v="1"/>
    <x v="2"/>
    <s v="Customer service was slow."/>
  </r>
  <r>
    <s v="FB287"/>
    <n v="58"/>
    <s v="Female"/>
    <n v="4"/>
    <x v="1"/>
    <s v="Great service, very satisfied."/>
  </r>
  <r>
    <s v="FB288"/>
    <n v="62"/>
    <s v="Female"/>
    <n v="5"/>
    <x v="1"/>
    <s v="Amazing experience!"/>
  </r>
  <r>
    <s v="FB289"/>
    <n v="49"/>
    <s v="Male"/>
    <n v="4"/>
    <x v="1"/>
    <s v="Very helpful and quick."/>
  </r>
  <r>
    <s v="FB290"/>
    <n v="35"/>
    <s v="Female"/>
    <n v="5"/>
    <x v="1"/>
    <s v="Product quality is excellent!"/>
  </r>
  <r>
    <s v="FB291"/>
    <n v="54"/>
    <s v="Female"/>
    <n v="3"/>
    <x v="0"/>
    <s v="Average experience."/>
  </r>
  <r>
    <s v="FB292"/>
    <n v="26"/>
    <s v="Male"/>
    <n v="2"/>
    <x v="2"/>
    <s v="Customer service was slow."/>
  </r>
  <r>
    <s v="FB293"/>
    <n v="19"/>
    <s v="Female"/>
    <n v="5"/>
    <x v="1"/>
    <s v="Loved the support team response."/>
  </r>
  <r>
    <s v="FB294"/>
    <n v="19"/>
    <s v="Male"/>
    <n v="2"/>
    <x v="2"/>
    <s v="Not satisfied with the purchase."/>
  </r>
  <r>
    <s v="FB295"/>
    <n v="37"/>
    <s v="Male"/>
    <n v="2"/>
    <x v="2"/>
    <s v="Not satisfied with the purchase."/>
  </r>
  <r>
    <s v="FB296"/>
    <n v="26"/>
    <s v="Male"/>
    <n v="5"/>
    <x v="1"/>
    <s v="Very helpful and quick."/>
  </r>
  <r>
    <s v="FB297"/>
    <n v="24"/>
    <s v="Male"/>
    <n v="3"/>
    <x v="0"/>
    <s v="Satisfactory."/>
  </r>
  <r>
    <s v="FB298"/>
    <n v="30"/>
    <s v="Male"/>
    <n v="4"/>
    <x v="1"/>
    <s v="Loved the support team response."/>
  </r>
  <r>
    <s v="FB299"/>
    <n v="43"/>
    <s v="Female"/>
    <n v="5"/>
    <x v="1"/>
    <s v="Product quality is excellent!"/>
  </r>
  <r>
    <s v="FB300"/>
    <n v="33"/>
    <s v="Female"/>
    <n v="3"/>
    <x v="0"/>
    <s v="Satisfactory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x v="0"/>
    <n v="3"/>
  </r>
  <r>
    <x v="0"/>
    <n v="5"/>
  </r>
  <r>
    <x v="1"/>
    <n v="2"/>
  </r>
  <r>
    <x v="1"/>
    <n v="4"/>
  </r>
  <r>
    <x v="1"/>
    <n v="5"/>
  </r>
  <r>
    <x v="0"/>
    <n v="5"/>
  </r>
  <r>
    <x v="0"/>
    <n v="1"/>
  </r>
  <r>
    <x v="0"/>
    <n v="3"/>
  </r>
  <r>
    <x v="1"/>
    <n v="4"/>
  </r>
  <r>
    <x v="1"/>
    <n v="5"/>
  </r>
  <r>
    <x v="0"/>
    <n v="2"/>
  </r>
  <r>
    <x v="1"/>
    <n v="2"/>
  </r>
  <r>
    <x v="0"/>
    <n v="2"/>
  </r>
  <r>
    <x v="0"/>
    <n v="4"/>
  </r>
  <r>
    <x v="0"/>
    <n v="2"/>
  </r>
  <r>
    <x v="0"/>
    <n v="2"/>
  </r>
  <r>
    <x v="1"/>
    <n v="5"/>
  </r>
  <r>
    <x v="1"/>
    <n v="2"/>
  </r>
  <r>
    <x v="1"/>
    <n v="5"/>
  </r>
  <r>
    <x v="0"/>
    <n v="3"/>
  </r>
  <r>
    <x v="0"/>
    <n v="1"/>
  </r>
  <r>
    <x v="1"/>
    <n v="2"/>
  </r>
  <r>
    <x v="1"/>
    <n v="2"/>
  </r>
  <r>
    <x v="0"/>
    <n v="3"/>
  </r>
  <r>
    <x v="0"/>
    <n v="1"/>
  </r>
  <r>
    <x v="0"/>
    <n v="5"/>
  </r>
  <r>
    <x v="0"/>
    <n v="4"/>
  </r>
  <r>
    <x v="0"/>
    <n v="1"/>
  </r>
  <r>
    <x v="1"/>
    <n v="1"/>
  </r>
  <r>
    <x v="0"/>
    <n v="5"/>
  </r>
  <r>
    <x v="0"/>
    <n v="3"/>
  </r>
  <r>
    <x v="0"/>
    <n v="4"/>
  </r>
  <r>
    <x v="1"/>
    <n v="4"/>
  </r>
  <r>
    <x v="1"/>
    <n v="2"/>
  </r>
  <r>
    <x v="0"/>
    <n v="5"/>
  </r>
  <r>
    <x v="0"/>
    <n v="5"/>
  </r>
  <r>
    <x v="0"/>
    <n v="5"/>
  </r>
  <r>
    <x v="0"/>
    <n v="3"/>
  </r>
  <r>
    <x v="0"/>
    <n v="3"/>
  </r>
  <r>
    <x v="1"/>
    <n v="1"/>
  </r>
  <r>
    <x v="0"/>
    <n v="4"/>
  </r>
  <r>
    <x v="1"/>
    <n v="3"/>
  </r>
  <r>
    <x v="0"/>
    <n v="5"/>
  </r>
  <r>
    <x v="0"/>
    <n v="1"/>
  </r>
  <r>
    <x v="0"/>
    <n v="1"/>
  </r>
  <r>
    <x v="0"/>
    <n v="1"/>
  </r>
  <r>
    <x v="1"/>
    <n v="5"/>
  </r>
  <r>
    <x v="1"/>
    <n v="1"/>
  </r>
  <r>
    <x v="1"/>
    <n v="4"/>
  </r>
  <r>
    <x v="1"/>
    <n v="5"/>
  </r>
  <r>
    <x v="0"/>
    <n v="3"/>
  </r>
  <r>
    <x v="1"/>
    <n v="5"/>
  </r>
  <r>
    <x v="0"/>
    <n v="2"/>
  </r>
  <r>
    <x v="1"/>
    <n v="3"/>
  </r>
  <r>
    <x v="0"/>
    <n v="1"/>
  </r>
  <r>
    <x v="1"/>
    <n v="3"/>
  </r>
  <r>
    <x v="1"/>
    <n v="1"/>
  </r>
  <r>
    <x v="1"/>
    <n v="3"/>
  </r>
  <r>
    <x v="1"/>
    <n v="3"/>
  </r>
  <r>
    <x v="1"/>
    <n v="3"/>
  </r>
  <r>
    <x v="1"/>
    <n v="5"/>
  </r>
  <r>
    <x v="1"/>
    <n v="2"/>
  </r>
  <r>
    <x v="0"/>
    <n v="5"/>
  </r>
  <r>
    <x v="0"/>
    <n v="4"/>
  </r>
  <r>
    <x v="0"/>
    <n v="4"/>
  </r>
  <r>
    <x v="0"/>
    <n v="1"/>
  </r>
  <r>
    <x v="1"/>
    <n v="5"/>
  </r>
  <r>
    <x v="0"/>
    <n v="5"/>
  </r>
  <r>
    <x v="0"/>
    <n v="4"/>
  </r>
  <r>
    <x v="1"/>
    <n v="4"/>
  </r>
  <r>
    <x v="1"/>
    <n v="1"/>
  </r>
  <r>
    <x v="1"/>
    <n v="5"/>
  </r>
  <r>
    <x v="0"/>
    <n v="3"/>
  </r>
  <r>
    <x v="0"/>
    <n v="1"/>
  </r>
  <r>
    <x v="1"/>
    <n v="3"/>
  </r>
  <r>
    <x v="0"/>
    <n v="5"/>
  </r>
  <r>
    <x v="0"/>
    <n v="2"/>
  </r>
  <r>
    <x v="0"/>
    <n v="4"/>
  </r>
  <r>
    <x v="1"/>
    <n v="1"/>
  </r>
  <r>
    <x v="0"/>
    <n v="2"/>
  </r>
  <r>
    <x v="1"/>
    <n v="1"/>
  </r>
  <r>
    <x v="0"/>
    <n v="3"/>
  </r>
  <r>
    <x v="0"/>
    <n v="3"/>
  </r>
  <r>
    <x v="0"/>
    <n v="1"/>
  </r>
  <r>
    <x v="0"/>
    <n v="3"/>
  </r>
  <r>
    <x v="0"/>
    <n v="3"/>
  </r>
  <r>
    <x v="1"/>
    <n v="2"/>
  </r>
  <r>
    <x v="0"/>
    <n v="5"/>
  </r>
  <r>
    <x v="0"/>
    <n v="3"/>
  </r>
  <r>
    <x v="1"/>
    <n v="3"/>
  </r>
  <r>
    <x v="1"/>
    <n v="5"/>
  </r>
  <r>
    <x v="1"/>
    <n v="5"/>
  </r>
  <r>
    <x v="1"/>
    <n v="1"/>
  </r>
  <r>
    <x v="0"/>
    <n v="1"/>
  </r>
  <r>
    <x v="1"/>
    <n v="2"/>
  </r>
  <r>
    <x v="1"/>
    <n v="5"/>
  </r>
  <r>
    <x v="1"/>
    <n v="3"/>
  </r>
  <r>
    <x v="1"/>
    <n v="4"/>
  </r>
  <r>
    <x v="0"/>
    <n v="5"/>
  </r>
  <r>
    <x v="1"/>
    <n v="2"/>
  </r>
  <r>
    <x v="1"/>
    <n v="1"/>
  </r>
  <r>
    <x v="1"/>
    <n v="1"/>
  </r>
  <r>
    <x v="1"/>
    <n v="4"/>
  </r>
  <r>
    <x v="1"/>
    <n v="2"/>
  </r>
  <r>
    <x v="1"/>
    <n v="2"/>
  </r>
  <r>
    <x v="0"/>
    <n v="2"/>
  </r>
  <r>
    <x v="0"/>
    <n v="2"/>
  </r>
  <r>
    <x v="0"/>
    <n v="2"/>
  </r>
  <r>
    <x v="0"/>
    <n v="3"/>
  </r>
  <r>
    <x v="0"/>
    <n v="1"/>
  </r>
  <r>
    <x v="1"/>
    <n v="5"/>
  </r>
  <r>
    <x v="1"/>
    <n v="2"/>
  </r>
  <r>
    <x v="1"/>
    <n v="2"/>
  </r>
  <r>
    <x v="1"/>
    <n v="3"/>
  </r>
  <r>
    <x v="1"/>
    <n v="2"/>
  </r>
  <r>
    <x v="0"/>
    <n v="4"/>
  </r>
  <r>
    <x v="1"/>
    <n v="3"/>
  </r>
  <r>
    <x v="0"/>
    <n v="1"/>
  </r>
  <r>
    <x v="1"/>
    <n v="3"/>
  </r>
  <r>
    <x v="1"/>
    <n v="1"/>
  </r>
  <r>
    <x v="0"/>
    <n v="5"/>
  </r>
  <r>
    <x v="1"/>
    <n v="2"/>
  </r>
  <r>
    <x v="0"/>
    <n v="2"/>
  </r>
  <r>
    <x v="0"/>
    <n v="5"/>
  </r>
  <r>
    <x v="1"/>
    <n v="5"/>
  </r>
  <r>
    <x v="0"/>
    <n v="5"/>
  </r>
  <r>
    <x v="0"/>
    <n v="2"/>
  </r>
  <r>
    <x v="0"/>
    <n v="2"/>
  </r>
  <r>
    <x v="1"/>
    <n v="3"/>
  </r>
  <r>
    <x v="0"/>
    <n v="2"/>
  </r>
  <r>
    <x v="1"/>
    <n v="4"/>
  </r>
  <r>
    <x v="0"/>
    <n v="5"/>
  </r>
  <r>
    <x v="0"/>
    <n v="2"/>
  </r>
  <r>
    <x v="1"/>
    <n v="5"/>
  </r>
  <r>
    <x v="1"/>
    <n v="1"/>
  </r>
  <r>
    <x v="0"/>
    <n v="4"/>
  </r>
  <r>
    <x v="1"/>
    <n v="2"/>
  </r>
  <r>
    <x v="0"/>
    <n v="1"/>
  </r>
  <r>
    <x v="0"/>
    <n v="2"/>
  </r>
  <r>
    <x v="1"/>
    <n v="2"/>
  </r>
  <r>
    <x v="1"/>
    <n v="3"/>
  </r>
  <r>
    <x v="1"/>
    <n v="5"/>
  </r>
  <r>
    <x v="1"/>
    <n v="1"/>
  </r>
  <r>
    <x v="1"/>
    <n v="1"/>
  </r>
  <r>
    <x v="1"/>
    <n v="4"/>
  </r>
  <r>
    <x v="0"/>
    <n v="2"/>
  </r>
  <r>
    <x v="1"/>
    <n v="5"/>
  </r>
  <r>
    <x v="1"/>
    <n v="1"/>
  </r>
  <r>
    <x v="1"/>
    <n v="5"/>
  </r>
  <r>
    <x v="0"/>
    <n v="2"/>
  </r>
  <r>
    <x v="0"/>
    <n v="3"/>
  </r>
  <r>
    <x v="1"/>
    <n v="2"/>
  </r>
  <r>
    <x v="0"/>
    <n v="5"/>
  </r>
  <r>
    <x v="0"/>
    <n v="4"/>
  </r>
  <r>
    <x v="0"/>
    <n v="2"/>
  </r>
  <r>
    <x v="1"/>
    <n v="5"/>
  </r>
  <r>
    <x v="1"/>
    <n v="1"/>
  </r>
  <r>
    <x v="1"/>
    <n v="2"/>
  </r>
  <r>
    <x v="0"/>
    <n v="3"/>
  </r>
  <r>
    <x v="0"/>
    <n v="5"/>
  </r>
  <r>
    <x v="0"/>
    <n v="4"/>
  </r>
  <r>
    <x v="0"/>
    <n v="2"/>
  </r>
  <r>
    <x v="0"/>
    <n v="2"/>
  </r>
  <r>
    <x v="1"/>
    <n v="4"/>
  </r>
  <r>
    <x v="0"/>
    <n v="3"/>
  </r>
  <r>
    <x v="0"/>
    <n v="2"/>
  </r>
  <r>
    <x v="1"/>
    <n v="4"/>
  </r>
  <r>
    <x v="0"/>
    <n v="1"/>
  </r>
  <r>
    <x v="1"/>
    <n v="1"/>
  </r>
  <r>
    <x v="0"/>
    <n v="2"/>
  </r>
  <r>
    <x v="1"/>
    <n v="1"/>
  </r>
  <r>
    <x v="0"/>
    <n v="3"/>
  </r>
  <r>
    <x v="1"/>
    <n v="3"/>
  </r>
  <r>
    <x v="0"/>
    <n v="4"/>
  </r>
  <r>
    <x v="0"/>
    <n v="3"/>
  </r>
  <r>
    <x v="0"/>
    <n v="4"/>
  </r>
  <r>
    <x v="1"/>
    <n v="4"/>
  </r>
  <r>
    <x v="1"/>
    <n v="4"/>
  </r>
  <r>
    <x v="1"/>
    <n v="1"/>
  </r>
  <r>
    <x v="1"/>
    <n v="1"/>
  </r>
  <r>
    <x v="0"/>
    <n v="5"/>
  </r>
  <r>
    <x v="1"/>
    <n v="5"/>
  </r>
  <r>
    <x v="1"/>
    <n v="2"/>
  </r>
  <r>
    <x v="1"/>
    <n v="5"/>
  </r>
  <r>
    <x v="0"/>
    <n v="1"/>
  </r>
  <r>
    <x v="0"/>
    <n v="3"/>
  </r>
  <r>
    <x v="1"/>
    <n v="2"/>
  </r>
  <r>
    <x v="0"/>
    <n v="1"/>
  </r>
  <r>
    <x v="1"/>
    <n v="2"/>
  </r>
  <r>
    <x v="1"/>
    <n v="3"/>
  </r>
  <r>
    <x v="1"/>
    <n v="3"/>
  </r>
  <r>
    <x v="1"/>
    <n v="4"/>
  </r>
  <r>
    <x v="1"/>
    <n v="4"/>
  </r>
  <r>
    <x v="0"/>
    <n v="5"/>
  </r>
  <r>
    <x v="1"/>
    <n v="2"/>
  </r>
  <r>
    <x v="1"/>
    <n v="5"/>
  </r>
  <r>
    <x v="1"/>
    <n v="1"/>
  </r>
  <r>
    <x v="1"/>
    <n v="4"/>
  </r>
  <r>
    <x v="1"/>
    <n v="1"/>
  </r>
  <r>
    <x v="1"/>
    <n v="1"/>
  </r>
  <r>
    <x v="0"/>
    <n v="4"/>
  </r>
  <r>
    <x v="0"/>
    <n v="5"/>
  </r>
  <r>
    <x v="1"/>
    <n v="4"/>
  </r>
  <r>
    <x v="1"/>
    <n v="3"/>
  </r>
  <r>
    <x v="0"/>
    <n v="4"/>
  </r>
  <r>
    <x v="0"/>
    <n v="5"/>
  </r>
  <r>
    <x v="1"/>
    <n v="2"/>
  </r>
  <r>
    <x v="1"/>
    <n v="4"/>
  </r>
  <r>
    <x v="1"/>
    <n v="4"/>
  </r>
  <r>
    <x v="1"/>
    <n v="3"/>
  </r>
  <r>
    <x v="1"/>
    <n v="1"/>
  </r>
  <r>
    <x v="1"/>
    <n v="2"/>
  </r>
  <r>
    <x v="0"/>
    <n v="5"/>
  </r>
  <r>
    <x v="0"/>
    <n v="4"/>
  </r>
  <r>
    <x v="0"/>
    <n v="2"/>
  </r>
  <r>
    <x v="1"/>
    <n v="5"/>
  </r>
  <r>
    <x v="0"/>
    <n v="4"/>
  </r>
  <r>
    <x v="1"/>
    <n v="4"/>
  </r>
  <r>
    <x v="0"/>
    <n v="4"/>
  </r>
  <r>
    <x v="1"/>
    <n v="4"/>
  </r>
  <r>
    <x v="1"/>
    <n v="1"/>
  </r>
  <r>
    <x v="1"/>
    <n v="4"/>
  </r>
  <r>
    <x v="1"/>
    <n v="4"/>
  </r>
  <r>
    <x v="0"/>
    <n v="2"/>
  </r>
  <r>
    <x v="1"/>
    <n v="1"/>
  </r>
  <r>
    <x v="0"/>
    <n v="3"/>
  </r>
  <r>
    <x v="1"/>
    <n v="2"/>
  </r>
  <r>
    <x v="1"/>
    <n v="5"/>
  </r>
  <r>
    <x v="1"/>
    <n v="5"/>
  </r>
  <r>
    <x v="1"/>
    <n v="1"/>
  </r>
  <r>
    <x v="0"/>
    <n v="3"/>
  </r>
  <r>
    <x v="1"/>
    <n v="2"/>
  </r>
  <r>
    <x v="1"/>
    <n v="3"/>
  </r>
  <r>
    <x v="1"/>
    <n v="2"/>
  </r>
  <r>
    <x v="0"/>
    <n v="5"/>
  </r>
  <r>
    <x v="1"/>
    <n v="4"/>
  </r>
  <r>
    <x v="0"/>
    <n v="2"/>
  </r>
  <r>
    <x v="0"/>
    <n v="1"/>
  </r>
  <r>
    <x v="0"/>
    <n v="3"/>
  </r>
  <r>
    <x v="0"/>
    <n v="4"/>
  </r>
  <r>
    <x v="1"/>
    <n v="4"/>
  </r>
  <r>
    <x v="1"/>
    <n v="3"/>
  </r>
  <r>
    <x v="1"/>
    <n v="3"/>
  </r>
  <r>
    <x v="1"/>
    <n v="2"/>
  </r>
  <r>
    <x v="1"/>
    <n v="3"/>
  </r>
  <r>
    <x v="0"/>
    <n v="5"/>
  </r>
  <r>
    <x v="1"/>
    <n v="3"/>
  </r>
  <r>
    <x v="1"/>
    <n v="1"/>
  </r>
  <r>
    <x v="0"/>
    <n v="1"/>
  </r>
  <r>
    <x v="1"/>
    <n v="2"/>
  </r>
  <r>
    <x v="0"/>
    <n v="2"/>
  </r>
  <r>
    <x v="1"/>
    <n v="1"/>
  </r>
  <r>
    <x v="0"/>
    <n v="4"/>
  </r>
  <r>
    <x v="0"/>
    <n v="3"/>
  </r>
  <r>
    <x v="0"/>
    <n v="4"/>
  </r>
  <r>
    <x v="0"/>
    <n v="4"/>
  </r>
  <r>
    <x v="1"/>
    <n v="2"/>
  </r>
  <r>
    <x v="0"/>
    <n v="2"/>
  </r>
  <r>
    <x v="0"/>
    <n v="5"/>
  </r>
  <r>
    <x v="1"/>
    <n v="4"/>
  </r>
  <r>
    <x v="0"/>
    <n v="4"/>
  </r>
  <r>
    <x v="1"/>
    <n v="5"/>
  </r>
  <r>
    <x v="1"/>
    <n v="1"/>
  </r>
  <r>
    <x v="0"/>
    <n v="4"/>
  </r>
  <r>
    <x v="0"/>
    <n v="4"/>
  </r>
  <r>
    <x v="0"/>
    <n v="5"/>
  </r>
  <r>
    <x v="0"/>
    <n v="3"/>
  </r>
  <r>
    <x v="0"/>
    <n v="2"/>
  </r>
  <r>
    <x v="0"/>
    <n v="5"/>
  </r>
  <r>
    <x v="1"/>
    <n v="5"/>
  </r>
  <r>
    <x v="0"/>
    <n v="1"/>
  </r>
  <r>
    <x v="1"/>
    <n v="4"/>
  </r>
  <r>
    <x v="0"/>
    <n v="1"/>
  </r>
  <r>
    <x v="1"/>
    <n v="2"/>
  </r>
  <r>
    <x v="1"/>
    <n v="3"/>
  </r>
  <r>
    <x v="0"/>
    <n v="4"/>
  </r>
  <r>
    <x v="0"/>
    <n v="1"/>
  </r>
  <r>
    <x v="0"/>
    <n v="1"/>
  </r>
  <r>
    <x v="1"/>
    <n v="5"/>
  </r>
  <r>
    <x v="0"/>
    <n v="5"/>
  </r>
  <r>
    <x v="0"/>
    <n v="4"/>
  </r>
  <r>
    <x v="0"/>
    <n v="5"/>
  </r>
  <r>
    <x v="0"/>
    <n v="5"/>
  </r>
  <r>
    <x v="0"/>
    <n v="5"/>
  </r>
  <r>
    <x v="1"/>
    <n v="2"/>
  </r>
  <r>
    <x v="0"/>
    <n v="1"/>
  </r>
  <r>
    <x v="0"/>
    <n v="4"/>
  </r>
  <r>
    <x v="0"/>
    <n v="5"/>
  </r>
  <r>
    <x v="1"/>
    <n v="4"/>
  </r>
  <r>
    <x v="0"/>
    <n v="5"/>
  </r>
  <r>
    <x v="0"/>
    <n v="3"/>
  </r>
  <r>
    <x v="1"/>
    <n v="2"/>
  </r>
  <r>
    <x v="0"/>
    <n v="5"/>
  </r>
  <r>
    <x v="1"/>
    <n v="2"/>
  </r>
  <r>
    <x v="1"/>
    <n v="2"/>
  </r>
  <r>
    <x v="1"/>
    <n v="5"/>
  </r>
  <r>
    <x v="1"/>
    <n v="3"/>
  </r>
  <r>
    <x v="1"/>
    <n v="4"/>
  </r>
  <r>
    <x v="0"/>
    <n v="5"/>
  </r>
  <r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L6:M9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ating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H6:I10" firstHeaderRow="1" firstDataRow="1" firstDataCol="1"/>
  <pivotFields count="6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workbookViewId="0">
      <selection activeCell="J20" sqref="J20"/>
    </sheetView>
  </sheetViews>
  <sheetFormatPr defaultRowHeight="15"/>
  <cols>
    <col min="5" max="5" width="10.140625" bestFit="1" customWidth="1"/>
    <col min="6" max="6" width="33.42578125" bestFit="1" customWidth="1"/>
    <col min="7" max="7" width="10.140625" bestFit="1" customWidth="1"/>
    <col min="8" max="8" width="19.85546875" bestFit="1" customWidth="1"/>
    <col min="10" max="10" width="26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322</v>
      </c>
      <c r="F1" t="s">
        <v>4</v>
      </c>
      <c r="G1">
        <f>COUNTA(A2:A301)</f>
        <v>300</v>
      </c>
    </row>
    <row r="2" spans="1:10" ht="15.75" thickBot="1">
      <c r="A2" t="s">
        <v>5</v>
      </c>
      <c r="B2">
        <v>59</v>
      </c>
      <c r="C2" t="s">
        <v>6</v>
      </c>
      <c r="D2">
        <v>3</v>
      </c>
      <c r="E2" t="str">
        <f>IF(D2&gt;=4,"Positive",IF(D2=3,"Neutral","Negative"))</f>
        <v>Neutral</v>
      </c>
      <c r="F2" t="s">
        <v>7</v>
      </c>
    </row>
    <row r="3" spans="1:10" ht="15.75" thickBot="1">
      <c r="A3" t="s">
        <v>8</v>
      </c>
      <c r="B3">
        <v>65</v>
      </c>
      <c r="C3" t="s">
        <v>6</v>
      </c>
      <c r="D3">
        <v>5</v>
      </c>
      <c r="E3" t="str">
        <f t="shared" ref="E3:E66" si="0">IF(D3&gt;=4,"Positive",IF(D3=3,"Neutral","Negative"))</f>
        <v>Positive</v>
      </c>
      <c r="F3" t="s">
        <v>9</v>
      </c>
      <c r="H3" s="13" t="s">
        <v>323</v>
      </c>
      <c r="J3" s="14" t="s">
        <v>327</v>
      </c>
    </row>
    <row r="4" spans="1:10">
      <c r="A4" t="s">
        <v>10</v>
      </c>
      <c r="B4">
        <v>41</v>
      </c>
      <c r="C4" t="s">
        <v>11</v>
      </c>
      <c r="D4">
        <v>2</v>
      </c>
      <c r="E4" t="str">
        <f t="shared" si="0"/>
        <v>Negative</v>
      </c>
      <c r="F4" t="s">
        <v>12</v>
      </c>
      <c r="H4" s="13">
        <v>300</v>
      </c>
    </row>
    <row r="5" spans="1:10">
      <c r="A5" t="s">
        <v>13</v>
      </c>
      <c r="B5">
        <v>30</v>
      </c>
      <c r="C5" t="s">
        <v>11</v>
      </c>
      <c r="D5">
        <v>4</v>
      </c>
      <c r="E5" t="str">
        <f t="shared" si="0"/>
        <v>Positive</v>
      </c>
      <c r="F5" t="s">
        <v>14</v>
      </c>
    </row>
    <row r="6" spans="1:10">
      <c r="A6" t="s">
        <v>15</v>
      </c>
      <c r="B6">
        <v>42</v>
      </c>
      <c r="C6" t="s">
        <v>11</v>
      </c>
      <c r="D6">
        <v>5</v>
      </c>
      <c r="E6" t="str">
        <f t="shared" si="0"/>
        <v>Positive</v>
      </c>
      <c r="F6" t="s">
        <v>16</v>
      </c>
      <c r="H6" s="13" t="s">
        <v>324</v>
      </c>
    </row>
    <row r="7" spans="1:10">
      <c r="A7" t="s">
        <v>17</v>
      </c>
      <c r="B7">
        <v>57</v>
      </c>
      <c r="C7" t="s">
        <v>6</v>
      </c>
      <c r="D7">
        <v>5</v>
      </c>
      <c r="E7" t="str">
        <f t="shared" si="0"/>
        <v>Positive</v>
      </c>
      <c r="F7" t="s">
        <v>16</v>
      </c>
      <c r="H7" s="13">
        <f>COUNTIF(E2:E301,"positive")</f>
        <v>125</v>
      </c>
      <c r="J7" s="13">
        <f>H7/H4</f>
        <v>0.41666666666666669</v>
      </c>
    </row>
    <row r="8" spans="1:10">
      <c r="A8" t="s">
        <v>18</v>
      </c>
      <c r="B8">
        <v>57</v>
      </c>
      <c r="C8" t="s">
        <v>6</v>
      </c>
      <c r="D8">
        <v>1</v>
      </c>
      <c r="E8" t="str">
        <f t="shared" si="0"/>
        <v>Negative</v>
      </c>
      <c r="F8" t="s">
        <v>12</v>
      </c>
    </row>
    <row r="9" spans="1:10">
      <c r="A9" t="s">
        <v>19</v>
      </c>
      <c r="B9">
        <v>41</v>
      </c>
      <c r="C9" t="s">
        <v>6</v>
      </c>
      <c r="D9">
        <v>3</v>
      </c>
      <c r="E9" t="str">
        <f t="shared" si="0"/>
        <v>Neutral</v>
      </c>
      <c r="F9" t="s">
        <v>20</v>
      </c>
      <c r="H9" s="13" t="s">
        <v>325</v>
      </c>
    </row>
    <row r="10" spans="1:10">
      <c r="A10" t="s">
        <v>21</v>
      </c>
      <c r="B10">
        <v>58</v>
      </c>
      <c r="C10" t="s">
        <v>11</v>
      </c>
      <c r="D10">
        <v>4</v>
      </c>
      <c r="E10" t="str">
        <f t="shared" si="0"/>
        <v>Positive</v>
      </c>
      <c r="F10" t="s">
        <v>22</v>
      </c>
      <c r="H10" s="13">
        <f>COUNTIF(E2:E301,"Negative")</f>
        <v>121</v>
      </c>
      <c r="J10" s="13">
        <f>H10/H4</f>
        <v>0.40333333333333332</v>
      </c>
    </row>
    <row r="11" spans="1:10">
      <c r="A11" t="s">
        <v>23</v>
      </c>
      <c r="B11">
        <v>21</v>
      </c>
      <c r="C11" t="s">
        <v>11</v>
      </c>
      <c r="D11">
        <v>5</v>
      </c>
      <c r="E11" t="str">
        <f t="shared" si="0"/>
        <v>Positive</v>
      </c>
      <c r="F11" t="s">
        <v>22</v>
      </c>
    </row>
    <row r="12" spans="1:10">
      <c r="A12" t="s">
        <v>24</v>
      </c>
      <c r="B12">
        <v>27</v>
      </c>
      <c r="C12" t="s">
        <v>6</v>
      </c>
      <c r="D12">
        <v>2</v>
      </c>
      <c r="E12" t="str">
        <f t="shared" si="0"/>
        <v>Negative</v>
      </c>
      <c r="F12" t="s">
        <v>25</v>
      </c>
      <c r="H12" s="13" t="s">
        <v>326</v>
      </c>
    </row>
    <row r="13" spans="1:10">
      <c r="A13" t="s">
        <v>26</v>
      </c>
      <c r="B13">
        <v>33</v>
      </c>
      <c r="C13" t="s">
        <v>11</v>
      </c>
      <c r="D13">
        <v>2</v>
      </c>
      <c r="E13" t="str">
        <f t="shared" si="0"/>
        <v>Negative</v>
      </c>
      <c r="F13" t="s">
        <v>27</v>
      </c>
      <c r="H13" s="13">
        <f>COUNTIF(E2:E301,"neutral")</f>
        <v>54</v>
      </c>
      <c r="J13" s="13">
        <f>H13/H4</f>
        <v>0.18</v>
      </c>
    </row>
    <row r="14" spans="1:10">
      <c r="A14" t="s">
        <v>28</v>
      </c>
      <c r="B14">
        <v>62</v>
      </c>
      <c r="C14" t="s">
        <v>6</v>
      </c>
      <c r="D14">
        <v>2</v>
      </c>
      <c r="E14" t="str">
        <f t="shared" si="0"/>
        <v>Negative</v>
      </c>
      <c r="F14" t="s">
        <v>29</v>
      </c>
    </row>
    <row r="15" spans="1:10">
      <c r="A15" t="s">
        <v>30</v>
      </c>
      <c r="B15">
        <v>42</v>
      </c>
      <c r="C15" t="s">
        <v>6</v>
      </c>
      <c r="D15">
        <v>4</v>
      </c>
      <c r="E15" t="str">
        <f t="shared" si="0"/>
        <v>Positive</v>
      </c>
      <c r="F15" t="s">
        <v>9</v>
      </c>
    </row>
    <row r="16" spans="1:10">
      <c r="A16" t="s">
        <v>31</v>
      </c>
      <c r="B16">
        <v>46</v>
      </c>
      <c r="C16" t="s">
        <v>6</v>
      </c>
      <c r="D16">
        <v>2</v>
      </c>
      <c r="E16" t="str">
        <f t="shared" si="0"/>
        <v>Negative</v>
      </c>
      <c r="F16" t="s">
        <v>27</v>
      </c>
      <c r="H16" s="13" t="s">
        <v>328</v>
      </c>
    </row>
    <row r="17" spans="1:8">
      <c r="A17" t="s">
        <v>32</v>
      </c>
      <c r="B17">
        <v>54</v>
      </c>
      <c r="C17" t="s">
        <v>6</v>
      </c>
      <c r="D17">
        <v>2</v>
      </c>
      <c r="E17" t="str">
        <f t="shared" si="0"/>
        <v>Negative</v>
      </c>
      <c r="F17" t="s">
        <v>25</v>
      </c>
      <c r="H17" s="13">
        <f>AVERAGE(D2:D301)</f>
        <v>3.0533333333333332</v>
      </c>
    </row>
    <row r="18" spans="1:8">
      <c r="A18" t="s">
        <v>33</v>
      </c>
      <c r="B18">
        <v>25</v>
      </c>
      <c r="C18" t="s">
        <v>11</v>
      </c>
      <c r="D18">
        <v>5</v>
      </c>
      <c r="E18" t="str">
        <f t="shared" si="0"/>
        <v>Positive</v>
      </c>
      <c r="F18" t="s">
        <v>22</v>
      </c>
    </row>
    <row r="19" spans="1:8">
      <c r="A19" t="s">
        <v>34</v>
      </c>
      <c r="B19">
        <v>33</v>
      </c>
      <c r="C19" t="s">
        <v>11</v>
      </c>
      <c r="D19">
        <v>2</v>
      </c>
      <c r="E19" t="str">
        <f t="shared" si="0"/>
        <v>Negative</v>
      </c>
      <c r="F19" t="s">
        <v>29</v>
      </c>
    </row>
    <row r="20" spans="1:8">
      <c r="A20" t="s">
        <v>35</v>
      </c>
      <c r="B20">
        <v>51</v>
      </c>
      <c r="C20" t="s">
        <v>11</v>
      </c>
      <c r="D20">
        <v>5</v>
      </c>
      <c r="E20" t="str">
        <f t="shared" si="0"/>
        <v>Positive</v>
      </c>
      <c r="F20" t="s">
        <v>16</v>
      </c>
    </row>
    <row r="21" spans="1:8">
      <c r="A21" t="s">
        <v>36</v>
      </c>
      <c r="B21">
        <v>42</v>
      </c>
      <c r="C21" t="s">
        <v>6</v>
      </c>
      <c r="D21">
        <v>3</v>
      </c>
      <c r="E21" t="str">
        <f t="shared" si="0"/>
        <v>Neutral</v>
      </c>
      <c r="F21" t="s">
        <v>37</v>
      </c>
    </row>
    <row r="22" spans="1:8">
      <c r="A22" t="s">
        <v>38</v>
      </c>
      <c r="B22">
        <v>56</v>
      </c>
      <c r="C22" t="s">
        <v>6</v>
      </c>
      <c r="D22">
        <v>1</v>
      </c>
      <c r="E22" t="str">
        <f t="shared" si="0"/>
        <v>Negative</v>
      </c>
      <c r="F22" t="s">
        <v>12</v>
      </c>
    </row>
    <row r="23" spans="1:8">
      <c r="A23" t="s">
        <v>39</v>
      </c>
      <c r="B23">
        <v>31</v>
      </c>
      <c r="C23" t="s">
        <v>11</v>
      </c>
      <c r="D23">
        <v>2</v>
      </c>
      <c r="E23" t="str">
        <f t="shared" si="0"/>
        <v>Negative</v>
      </c>
      <c r="F23" t="s">
        <v>12</v>
      </c>
    </row>
    <row r="24" spans="1:8">
      <c r="A24" t="s">
        <v>40</v>
      </c>
      <c r="B24">
        <v>30</v>
      </c>
      <c r="C24" t="s">
        <v>11</v>
      </c>
      <c r="D24">
        <v>2</v>
      </c>
      <c r="E24" t="str">
        <f t="shared" si="0"/>
        <v>Negative</v>
      </c>
      <c r="F24" t="s">
        <v>25</v>
      </c>
    </row>
    <row r="25" spans="1:8">
      <c r="A25" t="s">
        <v>41</v>
      </c>
      <c r="B25">
        <v>42</v>
      </c>
      <c r="C25" t="s">
        <v>6</v>
      </c>
      <c r="D25">
        <v>3</v>
      </c>
      <c r="E25" t="str">
        <f t="shared" si="0"/>
        <v>Neutral</v>
      </c>
      <c r="F25" t="s">
        <v>7</v>
      </c>
    </row>
    <row r="26" spans="1:8">
      <c r="A26" t="s">
        <v>42</v>
      </c>
      <c r="B26">
        <v>32</v>
      </c>
      <c r="C26" t="s">
        <v>6</v>
      </c>
      <c r="D26">
        <v>1</v>
      </c>
      <c r="E26" t="str">
        <f t="shared" si="0"/>
        <v>Negative</v>
      </c>
      <c r="F26" t="s">
        <v>25</v>
      </c>
    </row>
    <row r="27" spans="1:8">
      <c r="A27" t="s">
        <v>43</v>
      </c>
      <c r="B27">
        <v>48</v>
      </c>
      <c r="C27" t="s">
        <v>6</v>
      </c>
      <c r="D27">
        <v>5</v>
      </c>
      <c r="E27" t="str">
        <f t="shared" si="0"/>
        <v>Positive</v>
      </c>
      <c r="F27" t="s">
        <v>16</v>
      </c>
    </row>
    <row r="28" spans="1:8">
      <c r="A28" t="s">
        <v>44</v>
      </c>
      <c r="B28">
        <v>41</v>
      </c>
      <c r="C28" t="s">
        <v>6</v>
      </c>
      <c r="D28">
        <v>4</v>
      </c>
      <c r="E28" t="str">
        <f t="shared" si="0"/>
        <v>Positive</v>
      </c>
      <c r="F28" t="s">
        <v>22</v>
      </c>
    </row>
    <row r="29" spans="1:8">
      <c r="A29" t="s">
        <v>45</v>
      </c>
      <c r="B29">
        <v>54</v>
      </c>
      <c r="C29" t="s">
        <v>6</v>
      </c>
      <c r="D29">
        <v>1</v>
      </c>
      <c r="E29" t="str">
        <f t="shared" si="0"/>
        <v>Negative</v>
      </c>
      <c r="F29" t="s">
        <v>46</v>
      </c>
    </row>
    <row r="30" spans="1:8">
      <c r="A30" t="s">
        <v>47</v>
      </c>
      <c r="B30">
        <v>42</v>
      </c>
      <c r="C30" t="s">
        <v>11</v>
      </c>
      <c r="D30">
        <v>1</v>
      </c>
      <c r="E30" t="str">
        <f t="shared" si="0"/>
        <v>Negative</v>
      </c>
      <c r="F30" t="s">
        <v>12</v>
      </c>
    </row>
    <row r="31" spans="1:8">
      <c r="A31" t="s">
        <v>48</v>
      </c>
      <c r="B31">
        <v>31</v>
      </c>
      <c r="C31" t="s">
        <v>6</v>
      </c>
      <c r="D31">
        <v>5</v>
      </c>
      <c r="E31" t="str">
        <f t="shared" si="0"/>
        <v>Positive</v>
      </c>
      <c r="F31" t="s">
        <v>16</v>
      </c>
    </row>
    <row r="32" spans="1:8">
      <c r="A32" t="s">
        <v>49</v>
      </c>
      <c r="B32">
        <v>34</v>
      </c>
      <c r="C32" t="s">
        <v>6</v>
      </c>
      <c r="D32">
        <v>3</v>
      </c>
      <c r="E32" t="str">
        <f t="shared" si="0"/>
        <v>Neutral</v>
      </c>
      <c r="F32" t="s">
        <v>50</v>
      </c>
    </row>
    <row r="33" spans="1:6">
      <c r="A33" t="s">
        <v>51</v>
      </c>
      <c r="B33">
        <v>58</v>
      </c>
      <c r="C33" t="s">
        <v>6</v>
      </c>
      <c r="D33">
        <v>4</v>
      </c>
      <c r="E33" t="str">
        <f t="shared" si="0"/>
        <v>Positive</v>
      </c>
      <c r="F33" t="s">
        <v>22</v>
      </c>
    </row>
    <row r="34" spans="1:6">
      <c r="A34" t="s">
        <v>52</v>
      </c>
      <c r="B34">
        <v>61</v>
      </c>
      <c r="C34" t="s">
        <v>11</v>
      </c>
      <c r="D34">
        <v>4</v>
      </c>
      <c r="E34" t="str">
        <f t="shared" si="0"/>
        <v>Positive</v>
      </c>
      <c r="F34" t="s">
        <v>53</v>
      </c>
    </row>
    <row r="35" spans="1:6">
      <c r="A35" t="s">
        <v>54</v>
      </c>
      <c r="B35">
        <v>33</v>
      </c>
      <c r="C35" t="s">
        <v>11</v>
      </c>
      <c r="D35">
        <v>2</v>
      </c>
      <c r="E35" t="str">
        <f t="shared" si="0"/>
        <v>Negative</v>
      </c>
      <c r="F35" t="s">
        <v>29</v>
      </c>
    </row>
    <row r="36" spans="1:6">
      <c r="A36" t="s">
        <v>55</v>
      </c>
      <c r="B36">
        <v>64</v>
      </c>
      <c r="C36" t="s">
        <v>6</v>
      </c>
      <c r="D36">
        <v>5</v>
      </c>
      <c r="E36" t="str">
        <f t="shared" si="0"/>
        <v>Positive</v>
      </c>
      <c r="F36" t="s">
        <v>16</v>
      </c>
    </row>
    <row r="37" spans="1:6">
      <c r="A37" t="s">
        <v>56</v>
      </c>
      <c r="B37">
        <v>40</v>
      </c>
      <c r="C37" t="s">
        <v>6</v>
      </c>
      <c r="D37">
        <v>5</v>
      </c>
      <c r="E37" t="str">
        <f t="shared" si="0"/>
        <v>Positive</v>
      </c>
      <c r="F37" t="s">
        <v>14</v>
      </c>
    </row>
    <row r="38" spans="1:6">
      <c r="A38" t="s">
        <v>57</v>
      </c>
      <c r="B38">
        <v>58</v>
      </c>
      <c r="C38" t="s">
        <v>6</v>
      </c>
      <c r="D38">
        <v>5</v>
      </c>
      <c r="E38" t="str">
        <f t="shared" si="0"/>
        <v>Positive</v>
      </c>
      <c r="F38" t="s">
        <v>9</v>
      </c>
    </row>
    <row r="39" spans="1:6">
      <c r="A39" t="s">
        <v>58</v>
      </c>
      <c r="B39">
        <v>43</v>
      </c>
      <c r="C39" t="s">
        <v>6</v>
      </c>
      <c r="D39">
        <v>3</v>
      </c>
      <c r="E39" t="str">
        <f t="shared" si="0"/>
        <v>Neutral</v>
      </c>
      <c r="F39" t="s">
        <v>59</v>
      </c>
    </row>
    <row r="40" spans="1:6">
      <c r="A40" t="s">
        <v>60</v>
      </c>
      <c r="B40">
        <v>35</v>
      </c>
      <c r="C40" t="s">
        <v>6</v>
      </c>
      <c r="D40">
        <v>3</v>
      </c>
      <c r="E40" t="str">
        <f t="shared" si="0"/>
        <v>Neutral</v>
      </c>
      <c r="F40" t="s">
        <v>59</v>
      </c>
    </row>
    <row r="41" spans="1:6">
      <c r="A41" t="s">
        <v>61</v>
      </c>
      <c r="B41">
        <v>22</v>
      </c>
      <c r="C41" t="s">
        <v>11</v>
      </c>
      <c r="D41">
        <v>1</v>
      </c>
      <c r="E41" t="str">
        <f t="shared" si="0"/>
        <v>Negative</v>
      </c>
      <c r="F41" t="s">
        <v>29</v>
      </c>
    </row>
    <row r="42" spans="1:6">
      <c r="A42" t="s">
        <v>62</v>
      </c>
      <c r="B42">
        <v>22</v>
      </c>
      <c r="C42" t="s">
        <v>6</v>
      </c>
      <c r="D42">
        <v>4</v>
      </c>
      <c r="E42" t="str">
        <f t="shared" si="0"/>
        <v>Positive</v>
      </c>
      <c r="F42" t="s">
        <v>22</v>
      </c>
    </row>
    <row r="43" spans="1:6">
      <c r="A43" t="s">
        <v>63</v>
      </c>
      <c r="B43">
        <v>65</v>
      </c>
      <c r="C43" t="s">
        <v>11</v>
      </c>
      <c r="D43">
        <v>3</v>
      </c>
      <c r="E43" t="str">
        <f t="shared" si="0"/>
        <v>Neutral</v>
      </c>
      <c r="F43" t="s">
        <v>59</v>
      </c>
    </row>
    <row r="44" spans="1:6">
      <c r="A44" t="s">
        <v>64</v>
      </c>
      <c r="B44">
        <v>49</v>
      </c>
      <c r="C44" t="s">
        <v>6</v>
      </c>
      <c r="D44">
        <v>5</v>
      </c>
      <c r="E44" t="str">
        <f t="shared" si="0"/>
        <v>Positive</v>
      </c>
      <c r="F44" t="s">
        <v>53</v>
      </c>
    </row>
    <row r="45" spans="1:6">
      <c r="A45" t="s">
        <v>65</v>
      </c>
      <c r="B45">
        <v>20</v>
      </c>
      <c r="C45" t="s">
        <v>6</v>
      </c>
      <c r="D45">
        <v>1</v>
      </c>
      <c r="E45" t="str">
        <f t="shared" si="0"/>
        <v>Negative</v>
      </c>
      <c r="F45" t="s">
        <v>12</v>
      </c>
    </row>
    <row r="46" spans="1:6">
      <c r="A46" t="s">
        <v>66</v>
      </c>
      <c r="B46">
        <v>63</v>
      </c>
      <c r="C46" t="s">
        <v>6</v>
      </c>
      <c r="D46">
        <v>1</v>
      </c>
      <c r="E46" t="str">
        <f t="shared" si="0"/>
        <v>Negative</v>
      </c>
      <c r="F46" t="s">
        <v>25</v>
      </c>
    </row>
    <row r="47" spans="1:6">
      <c r="A47" t="s">
        <v>67</v>
      </c>
      <c r="B47">
        <v>55</v>
      </c>
      <c r="C47" t="s">
        <v>6</v>
      </c>
      <c r="D47">
        <v>1</v>
      </c>
      <c r="E47" t="str">
        <f t="shared" si="0"/>
        <v>Negative</v>
      </c>
      <c r="F47" t="s">
        <v>27</v>
      </c>
    </row>
    <row r="48" spans="1:6">
      <c r="A48" t="s">
        <v>68</v>
      </c>
      <c r="B48">
        <v>61</v>
      </c>
      <c r="C48" t="s">
        <v>11</v>
      </c>
      <c r="D48">
        <v>5</v>
      </c>
      <c r="E48" t="str">
        <f t="shared" si="0"/>
        <v>Positive</v>
      </c>
      <c r="F48" t="s">
        <v>22</v>
      </c>
    </row>
    <row r="49" spans="1:6">
      <c r="A49" t="s">
        <v>69</v>
      </c>
      <c r="B49">
        <v>29</v>
      </c>
      <c r="C49" t="s">
        <v>11</v>
      </c>
      <c r="D49">
        <v>1</v>
      </c>
      <c r="E49" t="str">
        <f t="shared" si="0"/>
        <v>Negative</v>
      </c>
      <c r="F49" t="s">
        <v>12</v>
      </c>
    </row>
    <row r="50" spans="1:6">
      <c r="A50" t="s">
        <v>70</v>
      </c>
      <c r="B50">
        <v>29</v>
      </c>
      <c r="C50" t="s">
        <v>11</v>
      </c>
      <c r="D50">
        <v>4</v>
      </c>
      <c r="E50" t="str">
        <f t="shared" si="0"/>
        <v>Positive</v>
      </c>
      <c r="F50" t="s">
        <v>16</v>
      </c>
    </row>
    <row r="51" spans="1:6">
      <c r="A51" t="s">
        <v>71</v>
      </c>
      <c r="B51">
        <v>31</v>
      </c>
      <c r="C51" t="s">
        <v>11</v>
      </c>
      <c r="D51">
        <v>5</v>
      </c>
      <c r="E51" t="str">
        <f t="shared" si="0"/>
        <v>Positive</v>
      </c>
      <c r="F51" t="s">
        <v>9</v>
      </c>
    </row>
    <row r="52" spans="1:6">
      <c r="A52" t="s">
        <v>72</v>
      </c>
      <c r="B52">
        <v>65</v>
      </c>
      <c r="C52" t="s">
        <v>6</v>
      </c>
      <c r="D52">
        <v>3</v>
      </c>
      <c r="E52" t="str">
        <f t="shared" si="0"/>
        <v>Neutral</v>
      </c>
      <c r="F52" t="s">
        <v>37</v>
      </c>
    </row>
    <row r="53" spans="1:6">
      <c r="A53" t="s">
        <v>73</v>
      </c>
      <c r="B53">
        <v>60</v>
      </c>
      <c r="C53" t="s">
        <v>11</v>
      </c>
      <c r="D53">
        <v>5</v>
      </c>
      <c r="E53" t="str">
        <f t="shared" si="0"/>
        <v>Positive</v>
      </c>
      <c r="F53" t="s">
        <v>9</v>
      </c>
    </row>
    <row r="54" spans="1:6">
      <c r="A54" t="s">
        <v>74</v>
      </c>
      <c r="B54">
        <v>18</v>
      </c>
      <c r="C54" t="s">
        <v>6</v>
      </c>
      <c r="D54">
        <v>2</v>
      </c>
      <c r="E54" t="str">
        <f t="shared" si="0"/>
        <v>Negative</v>
      </c>
      <c r="F54" t="s">
        <v>29</v>
      </c>
    </row>
    <row r="55" spans="1:6">
      <c r="A55" t="s">
        <v>75</v>
      </c>
      <c r="B55">
        <v>29</v>
      </c>
      <c r="C55" t="s">
        <v>11</v>
      </c>
      <c r="D55">
        <v>3</v>
      </c>
      <c r="E55" t="str">
        <f t="shared" si="0"/>
        <v>Neutral</v>
      </c>
      <c r="F55" t="s">
        <v>50</v>
      </c>
    </row>
    <row r="56" spans="1:6">
      <c r="A56" t="s">
        <v>76</v>
      </c>
      <c r="B56">
        <v>18</v>
      </c>
      <c r="C56" t="s">
        <v>6</v>
      </c>
      <c r="D56">
        <v>1</v>
      </c>
      <c r="E56" t="str">
        <f t="shared" si="0"/>
        <v>Negative</v>
      </c>
      <c r="F56" t="s">
        <v>46</v>
      </c>
    </row>
    <row r="57" spans="1:6">
      <c r="A57" t="s">
        <v>77</v>
      </c>
      <c r="B57">
        <v>25</v>
      </c>
      <c r="C57" t="s">
        <v>11</v>
      </c>
      <c r="D57">
        <v>3</v>
      </c>
      <c r="E57" t="str">
        <f t="shared" si="0"/>
        <v>Neutral</v>
      </c>
      <c r="F57" t="s">
        <v>37</v>
      </c>
    </row>
    <row r="58" spans="1:6">
      <c r="A58" t="s">
        <v>78</v>
      </c>
      <c r="B58">
        <v>42</v>
      </c>
      <c r="C58" t="s">
        <v>11</v>
      </c>
      <c r="D58">
        <v>1</v>
      </c>
      <c r="E58" t="str">
        <f t="shared" si="0"/>
        <v>Negative</v>
      </c>
      <c r="F58" t="s">
        <v>29</v>
      </c>
    </row>
    <row r="59" spans="1:6">
      <c r="A59" t="s">
        <v>79</v>
      </c>
      <c r="B59">
        <v>44</v>
      </c>
      <c r="C59" t="s">
        <v>11</v>
      </c>
      <c r="D59">
        <v>3</v>
      </c>
      <c r="E59" t="str">
        <f t="shared" si="0"/>
        <v>Neutral</v>
      </c>
      <c r="F59" t="s">
        <v>20</v>
      </c>
    </row>
    <row r="60" spans="1:6">
      <c r="A60" t="s">
        <v>80</v>
      </c>
      <c r="B60">
        <v>37</v>
      </c>
      <c r="C60" t="s">
        <v>11</v>
      </c>
      <c r="D60">
        <v>3</v>
      </c>
      <c r="E60" t="str">
        <f t="shared" si="0"/>
        <v>Neutral</v>
      </c>
      <c r="F60" t="s">
        <v>7</v>
      </c>
    </row>
    <row r="61" spans="1:6">
      <c r="A61" t="s">
        <v>81</v>
      </c>
      <c r="B61">
        <v>39</v>
      </c>
      <c r="C61" t="s">
        <v>11</v>
      </c>
      <c r="D61">
        <v>3</v>
      </c>
      <c r="E61" t="str">
        <f t="shared" si="0"/>
        <v>Neutral</v>
      </c>
      <c r="F61" t="s">
        <v>59</v>
      </c>
    </row>
    <row r="62" spans="1:6">
      <c r="A62" t="s">
        <v>82</v>
      </c>
      <c r="B62">
        <v>23</v>
      </c>
      <c r="C62" t="s">
        <v>11</v>
      </c>
      <c r="D62">
        <v>5</v>
      </c>
      <c r="E62" t="str">
        <f t="shared" si="0"/>
        <v>Positive</v>
      </c>
      <c r="F62" t="s">
        <v>14</v>
      </c>
    </row>
    <row r="63" spans="1:6">
      <c r="A63" t="s">
        <v>83</v>
      </c>
      <c r="B63">
        <v>30</v>
      </c>
      <c r="C63" t="s">
        <v>11</v>
      </c>
      <c r="D63">
        <v>2</v>
      </c>
      <c r="E63" t="str">
        <f t="shared" si="0"/>
        <v>Negative</v>
      </c>
      <c r="F63" t="s">
        <v>27</v>
      </c>
    </row>
    <row r="64" spans="1:6">
      <c r="A64" t="s">
        <v>84</v>
      </c>
      <c r="B64">
        <v>29</v>
      </c>
      <c r="C64" t="s">
        <v>6</v>
      </c>
      <c r="D64">
        <v>5</v>
      </c>
      <c r="E64" t="str">
        <f t="shared" si="0"/>
        <v>Positive</v>
      </c>
      <c r="F64" t="s">
        <v>14</v>
      </c>
    </row>
    <row r="65" spans="1:6">
      <c r="A65" t="s">
        <v>85</v>
      </c>
      <c r="B65">
        <v>45</v>
      </c>
      <c r="C65" t="s">
        <v>6</v>
      </c>
      <c r="D65">
        <v>4</v>
      </c>
      <c r="E65" t="str">
        <f t="shared" si="0"/>
        <v>Positive</v>
      </c>
      <c r="F65" t="s">
        <v>53</v>
      </c>
    </row>
    <row r="66" spans="1:6">
      <c r="A66" t="s">
        <v>86</v>
      </c>
      <c r="B66">
        <v>35</v>
      </c>
      <c r="C66" t="s">
        <v>6</v>
      </c>
      <c r="D66">
        <v>4</v>
      </c>
      <c r="E66" t="str">
        <f t="shared" si="0"/>
        <v>Positive</v>
      </c>
      <c r="F66" t="s">
        <v>53</v>
      </c>
    </row>
    <row r="67" spans="1:6">
      <c r="A67" t="s">
        <v>87</v>
      </c>
      <c r="B67">
        <v>29</v>
      </c>
      <c r="C67" t="s">
        <v>6</v>
      </c>
      <c r="D67">
        <v>1</v>
      </c>
      <c r="E67" t="str">
        <f t="shared" ref="E67:E130" si="1">IF(D67&gt;=4,"Positive",IF(D67=3,"Neutral","Negative"))</f>
        <v>Negative</v>
      </c>
      <c r="F67" t="s">
        <v>46</v>
      </c>
    </row>
    <row r="68" spans="1:6">
      <c r="A68" t="s">
        <v>88</v>
      </c>
      <c r="B68">
        <v>40</v>
      </c>
      <c r="C68" t="s">
        <v>11</v>
      </c>
      <c r="D68">
        <v>5</v>
      </c>
      <c r="E68" t="str">
        <f t="shared" si="1"/>
        <v>Positive</v>
      </c>
      <c r="F68" t="s">
        <v>9</v>
      </c>
    </row>
    <row r="69" spans="1:6">
      <c r="A69" t="s">
        <v>89</v>
      </c>
      <c r="B69">
        <v>25</v>
      </c>
      <c r="C69" t="s">
        <v>6</v>
      </c>
      <c r="D69">
        <v>5</v>
      </c>
      <c r="E69" t="str">
        <f t="shared" si="1"/>
        <v>Positive</v>
      </c>
      <c r="F69" t="s">
        <v>14</v>
      </c>
    </row>
    <row r="70" spans="1:6">
      <c r="A70" t="s">
        <v>90</v>
      </c>
      <c r="B70">
        <v>30</v>
      </c>
      <c r="C70" t="s">
        <v>6</v>
      </c>
      <c r="D70">
        <v>4</v>
      </c>
      <c r="E70" t="str">
        <f t="shared" si="1"/>
        <v>Positive</v>
      </c>
      <c r="F70" t="s">
        <v>9</v>
      </c>
    </row>
    <row r="71" spans="1:6">
      <c r="A71" t="s">
        <v>91</v>
      </c>
      <c r="B71">
        <v>28</v>
      </c>
      <c r="C71" t="s">
        <v>11</v>
      </c>
      <c r="D71">
        <v>4</v>
      </c>
      <c r="E71" t="str">
        <f t="shared" si="1"/>
        <v>Positive</v>
      </c>
      <c r="F71" t="s">
        <v>53</v>
      </c>
    </row>
    <row r="72" spans="1:6">
      <c r="A72" t="s">
        <v>92</v>
      </c>
      <c r="B72">
        <v>27</v>
      </c>
      <c r="C72" t="s">
        <v>11</v>
      </c>
      <c r="D72">
        <v>1</v>
      </c>
      <c r="E72" t="str">
        <f t="shared" si="1"/>
        <v>Negative</v>
      </c>
      <c r="F72" t="s">
        <v>46</v>
      </c>
    </row>
    <row r="73" spans="1:6">
      <c r="A73" t="s">
        <v>93</v>
      </c>
      <c r="B73">
        <v>56</v>
      </c>
      <c r="C73" t="s">
        <v>11</v>
      </c>
      <c r="D73">
        <v>5</v>
      </c>
      <c r="E73" t="str">
        <f t="shared" si="1"/>
        <v>Positive</v>
      </c>
      <c r="F73" t="s">
        <v>14</v>
      </c>
    </row>
    <row r="74" spans="1:6">
      <c r="A74" t="s">
        <v>94</v>
      </c>
      <c r="B74">
        <v>64</v>
      </c>
      <c r="C74" t="s">
        <v>6</v>
      </c>
      <c r="D74">
        <v>3</v>
      </c>
      <c r="E74" t="str">
        <f t="shared" si="1"/>
        <v>Neutral</v>
      </c>
      <c r="F74" t="s">
        <v>50</v>
      </c>
    </row>
    <row r="75" spans="1:6">
      <c r="A75" t="s">
        <v>95</v>
      </c>
      <c r="B75">
        <v>47</v>
      </c>
      <c r="C75" t="s">
        <v>6</v>
      </c>
      <c r="D75">
        <v>1</v>
      </c>
      <c r="E75" t="str">
        <f t="shared" si="1"/>
        <v>Negative</v>
      </c>
      <c r="F75" t="s">
        <v>46</v>
      </c>
    </row>
    <row r="76" spans="1:6">
      <c r="A76" t="s">
        <v>96</v>
      </c>
      <c r="B76">
        <v>19</v>
      </c>
      <c r="C76" t="s">
        <v>11</v>
      </c>
      <c r="D76">
        <v>3</v>
      </c>
      <c r="E76" t="str">
        <f t="shared" si="1"/>
        <v>Neutral</v>
      </c>
      <c r="F76" t="s">
        <v>37</v>
      </c>
    </row>
    <row r="77" spans="1:6">
      <c r="A77" t="s">
        <v>97</v>
      </c>
      <c r="B77">
        <v>46</v>
      </c>
      <c r="C77" t="s">
        <v>6</v>
      </c>
      <c r="D77">
        <v>5</v>
      </c>
      <c r="E77" t="str">
        <f t="shared" si="1"/>
        <v>Positive</v>
      </c>
      <c r="F77" t="s">
        <v>53</v>
      </c>
    </row>
    <row r="78" spans="1:6">
      <c r="A78" t="s">
        <v>98</v>
      </c>
      <c r="B78">
        <v>55</v>
      </c>
      <c r="C78" t="s">
        <v>6</v>
      </c>
      <c r="D78">
        <v>2</v>
      </c>
      <c r="E78" t="str">
        <f t="shared" si="1"/>
        <v>Negative</v>
      </c>
      <c r="F78" t="s">
        <v>27</v>
      </c>
    </row>
    <row r="79" spans="1:6">
      <c r="A79" t="s">
        <v>99</v>
      </c>
      <c r="B79">
        <v>38</v>
      </c>
      <c r="C79" t="s">
        <v>6</v>
      </c>
      <c r="D79">
        <v>4</v>
      </c>
      <c r="E79" t="str">
        <f t="shared" si="1"/>
        <v>Positive</v>
      </c>
      <c r="F79" t="s">
        <v>14</v>
      </c>
    </row>
    <row r="80" spans="1:6">
      <c r="A80" t="s">
        <v>100</v>
      </c>
      <c r="B80">
        <v>47</v>
      </c>
      <c r="C80" t="s">
        <v>11</v>
      </c>
      <c r="D80">
        <v>1</v>
      </c>
      <c r="E80" t="str">
        <f t="shared" si="1"/>
        <v>Negative</v>
      </c>
      <c r="F80" t="s">
        <v>12</v>
      </c>
    </row>
    <row r="81" spans="1:6">
      <c r="A81" t="s">
        <v>101</v>
      </c>
      <c r="B81">
        <v>21</v>
      </c>
      <c r="C81" t="s">
        <v>6</v>
      </c>
      <c r="D81">
        <v>2</v>
      </c>
      <c r="E81" t="str">
        <f t="shared" si="1"/>
        <v>Negative</v>
      </c>
      <c r="F81" t="s">
        <v>25</v>
      </c>
    </row>
    <row r="82" spans="1:6">
      <c r="A82" t="s">
        <v>102</v>
      </c>
      <c r="B82">
        <v>47</v>
      </c>
      <c r="C82" t="s">
        <v>11</v>
      </c>
      <c r="D82">
        <v>1</v>
      </c>
      <c r="E82" t="str">
        <f t="shared" si="1"/>
        <v>Negative</v>
      </c>
      <c r="F82" t="s">
        <v>12</v>
      </c>
    </row>
    <row r="83" spans="1:6">
      <c r="A83" t="s">
        <v>103</v>
      </c>
      <c r="B83">
        <v>42</v>
      </c>
      <c r="C83" t="s">
        <v>6</v>
      </c>
      <c r="D83">
        <v>3</v>
      </c>
      <c r="E83" t="str">
        <f t="shared" si="1"/>
        <v>Neutral</v>
      </c>
      <c r="F83" t="s">
        <v>7</v>
      </c>
    </row>
    <row r="84" spans="1:6">
      <c r="A84" t="s">
        <v>104</v>
      </c>
      <c r="B84">
        <v>40</v>
      </c>
      <c r="C84" t="s">
        <v>6</v>
      </c>
      <c r="D84">
        <v>3</v>
      </c>
      <c r="E84" t="str">
        <f t="shared" si="1"/>
        <v>Neutral</v>
      </c>
      <c r="F84" t="s">
        <v>7</v>
      </c>
    </row>
    <row r="85" spans="1:6">
      <c r="A85" t="s">
        <v>105</v>
      </c>
      <c r="B85">
        <v>47</v>
      </c>
      <c r="C85" t="s">
        <v>6</v>
      </c>
      <c r="D85">
        <v>1</v>
      </c>
      <c r="E85" t="str">
        <f t="shared" si="1"/>
        <v>Negative</v>
      </c>
      <c r="F85" t="s">
        <v>12</v>
      </c>
    </row>
    <row r="86" spans="1:6">
      <c r="A86" t="s">
        <v>106</v>
      </c>
      <c r="B86">
        <v>53</v>
      </c>
      <c r="C86" t="s">
        <v>6</v>
      </c>
      <c r="D86">
        <v>3</v>
      </c>
      <c r="E86" t="str">
        <f t="shared" si="1"/>
        <v>Neutral</v>
      </c>
      <c r="F86" t="s">
        <v>50</v>
      </c>
    </row>
    <row r="87" spans="1:6">
      <c r="A87" t="s">
        <v>107</v>
      </c>
      <c r="B87">
        <v>44</v>
      </c>
      <c r="C87" t="s">
        <v>6</v>
      </c>
      <c r="D87">
        <v>3</v>
      </c>
      <c r="E87" t="str">
        <f t="shared" si="1"/>
        <v>Neutral</v>
      </c>
      <c r="F87" t="s">
        <v>7</v>
      </c>
    </row>
    <row r="88" spans="1:6">
      <c r="A88" t="s">
        <v>108</v>
      </c>
      <c r="B88">
        <v>31</v>
      </c>
      <c r="C88" t="s">
        <v>11</v>
      </c>
      <c r="D88">
        <v>2</v>
      </c>
      <c r="E88" t="str">
        <f t="shared" si="1"/>
        <v>Negative</v>
      </c>
      <c r="F88" t="s">
        <v>27</v>
      </c>
    </row>
    <row r="89" spans="1:6">
      <c r="A89" t="s">
        <v>109</v>
      </c>
      <c r="B89">
        <v>23</v>
      </c>
      <c r="C89" t="s">
        <v>6</v>
      </c>
      <c r="D89">
        <v>5</v>
      </c>
      <c r="E89" t="str">
        <f t="shared" si="1"/>
        <v>Positive</v>
      </c>
      <c r="F89" t="s">
        <v>53</v>
      </c>
    </row>
    <row r="90" spans="1:6">
      <c r="A90" t="s">
        <v>110</v>
      </c>
      <c r="B90">
        <v>33</v>
      </c>
      <c r="C90" t="s">
        <v>6</v>
      </c>
      <c r="D90">
        <v>3</v>
      </c>
      <c r="E90" t="str">
        <f t="shared" si="1"/>
        <v>Neutral</v>
      </c>
      <c r="F90" t="s">
        <v>20</v>
      </c>
    </row>
    <row r="91" spans="1:6">
      <c r="A91" t="s">
        <v>111</v>
      </c>
      <c r="B91">
        <v>43</v>
      </c>
      <c r="C91" t="s">
        <v>11</v>
      </c>
      <c r="D91">
        <v>3</v>
      </c>
      <c r="E91" t="str">
        <f t="shared" si="1"/>
        <v>Neutral</v>
      </c>
      <c r="F91" t="s">
        <v>37</v>
      </c>
    </row>
    <row r="92" spans="1:6">
      <c r="A92" t="s">
        <v>112</v>
      </c>
      <c r="B92">
        <v>47</v>
      </c>
      <c r="C92" t="s">
        <v>11</v>
      </c>
      <c r="D92">
        <v>5</v>
      </c>
      <c r="E92" t="str">
        <f t="shared" si="1"/>
        <v>Positive</v>
      </c>
      <c r="F92" t="s">
        <v>53</v>
      </c>
    </row>
    <row r="93" spans="1:6">
      <c r="A93" t="s">
        <v>113</v>
      </c>
      <c r="B93">
        <v>47</v>
      </c>
      <c r="C93" t="s">
        <v>11</v>
      </c>
      <c r="D93">
        <v>5</v>
      </c>
      <c r="E93" t="str">
        <f t="shared" si="1"/>
        <v>Positive</v>
      </c>
      <c r="F93" t="s">
        <v>9</v>
      </c>
    </row>
    <row r="94" spans="1:6">
      <c r="A94" t="s">
        <v>114</v>
      </c>
      <c r="B94">
        <v>51</v>
      </c>
      <c r="C94" t="s">
        <v>11</v>
      </c>
      <c r="D94">
        <v>1</v>
      </c>
      <c r="E94" t="str">
        <f t="shared" si="1"/>
        <v>Negative</v>
      </c>
      <c r="F94" t="s">
        <v>27</v>
      </c>
    </row>
    <row r="95" spans="1:6">
      <c r="A95" t="s">
        <v>115</v>
      </c>
      <c r="B95">
        <v>58</v>
      </c>
      <c r="C95" t="s">
        <v>6</v>
      </c>
      <c r="D95">
        <v>1</v>
      </c>
      <c r="E95" t="str">
        <f t="shared" si="1"/>
        <v>Negative</v>
      </c>
      <c r="F95" t="s">
        <v>12</v>
      </c>
    </row>
    <row r="96" spans="1:6">
      <c r="A96" t="s">
        <v>116</v>
      </c>
      <c r="B96">
        <v>59</v>
      </c>
      <c r="C96" t="s">
        <v>11</v>
      </c>
      <c r="D96">
        <v>2</v>
      </c>
      <c r="E96" t="str">
        <f t="shared" si="1"/>
        <v>Negative</v>
      </c>
      <c r="F96" t="s">
        <v>12</v>
      </c>
    </row>
    <row r="97" spans="1:6">
      <c r="A97" t="s">
        <v>117</v>
      </c>
      <c r="B97">
        <v>44</v>
      </c>
      <c r="C97" t="s">
        <v>11</v>
      </c>
      <c r="D97">
        <v>5</v>
      </c>
      <c r="E97" t="str">
        <f t="shared" si="1"/>
        <v>Positive</v>
      </c>
      <c r="F97" t="s">
        <v>22</v>
      </c>
    </row>
    <row r="98" spans="1:6">
      <c r="A98" t="s">
        <v>118</v>
      </c>
      <c r="B98">
        <v>55</v>
      </c>
      <c r="C98" t="s">
        <v>11</v>
      </c>
      <c r="D98">
        <v>3</v>
      </c>
      <c r="E98" t="str">
        <f t="shared" si="1"/>
        <v>Neutral</v>
      </c>
      <c r="F98" t="s">
        <v>20</v>
      </c>
    </row>
    <row r="99" spans="1:6">
      <c r="A99" t="s">
        <v>119</v>
      </c>
      <c r="B99">
        <v>49</v>
      </c>
      <c r="C99" t="s">
        <v>11</v>
      </c>
      <c r="D99">
        <v>4</v>
      </c>
      <c r="E99" t="str">
        <f t="shared" si="1"/>
        <v>Positive</v>
      </c>
      <c r="F99" t="s">
        <v>53</v>
      </c>
    </row>
    <row r="100" spans="1:6">
      <c r="A100" t="s">
        <v>120</v>
      </c>
      <c r="B100">
        <v>41</v>
      </c>
      <c r="C100" t="s">
        <v>6</v>
      </c>
      <c r="D100">
        <v>5</v>
      </c>
      <c r="E100" t="str">
        <f t="shared" si="1"/>
        <v>Positive</v>
      </c>
      <c r="F100" t="s">
        <v>9</v>
      </c>
    </row>
    <row r="101" spans="1:6">
      <c r="A101" t="s">
        <v>121</v>
      </c>
      <c r="B101">
        <v>36</v>
      </c>
      <c r="C101" t="s">
        <v>11</v>
      </c>
      <c r="D101">
        <v>2</v>
      </c>
      <c r="E101" t="str">
        <f t="shared" si="1"/>
        <v>Negative</v>
      </c>
      <c r="F101" t="s">
        <v>27</v>
      </c>
    </row>
    <row r="102" spans="1:6">
      <c r="A102" t="s">
        <v>122</v>
      </c>
      <c r="B102">
        <v>29</v>
      </c>
      <c r="C102" t="s">
        <v>11</v>
      </c>
      <c r="D102">
        <v>1</v>
      </c>
      <c r="E102" t="str">
        <f t="shared" si="1"/>
        <v>Negative</v>
      </c>
      <c r="F102" t="s">
        <v>25</v>
      </c>
    </row>
    <row r="103" spans="1:6">
      <c r="A103" t="s">
        <v>123</v>
      </c>
      <c r="B103">
        <v>65</v>
      </c>
      <c r="C103" t="s">
        <v>11</v>
      </c>
      <c r="D103">
        <v>1</v>
      </c>
      <c r="E103" t="str">
        <f t="shared" si="1"/>
        <v>Negative</v>
      </c>
      <c r="F103" t="s">
        <v>29</v>
      </c>
    </row>
    <row r="104" spans="1:6">
      <c r="A104" t="s">
        <v>124</v>
      </c>
      <c r="B104">
        <v>42</v>
      </c>
      <c r="C104" t="s">
        <v>11</v>
      </c>
      <c r="D104">
        <v>4</v>
      </c>
      <c r="E104" t="str">
        <f t="shared" si="1"/>
        <v>Positive</v>
      </c>
      <c r="F104" t="s">
        <v>14</v>
      </c>
    </row>
    <row r="105" spans="1:6">
      <c r="A105" t="s">
        <v>125</v>
      </c>
      <c r="B105">
        <v>25</v>
      </c>
      <c r="C105" t="s">
        <v>11</v>
      </c>
      <c r="D105">
        <v>2</v>
      </c>
      <c r="E105" t="str">
        <f t="shared" si="1"/>
        <v>Negative</v>
      </c>
      <c r="F105" t="s">
        <v>29</v>
      </c>
    </row>
    <row r="106" spans="1:6">
      <c r="A106" t="s">
        <v>126</v>
      </c>
      <c r="B106">
        <v>27</v>
      </c>
      <c r="C106" t="s">
        <v>11</v>
      </c>
      <c r="D106">
        <v>2</v>
      </c>
      <c r="E106" t="str">
        <f t="shared" si="1"/>
        <v>Negative</v>
      </c>
      <c r="F106" t="s">
        <v>25</v>
      </c>
    </row>
    <row r="107" spans="1:6">
      <c r="A107" t="s">
        <v>127</v>
      </c>
      <c r="B107">
        <v>46</v>
      </c>
      <c r="C107" t="s">
        <v>6</v>
      </c>
      <c r="D107">
        <v>2</v>
      </c>
      <c r="E107" t="str">
        <f t="shared" si="1"/>
        <v>Negative</v>
      </c>
      <c r="F107" t="s">
        <v>12</v>
      </c>
    </row>
    <row r="108" spans="1:6">
      <c r="A108" t="s">
        <v>128</v>
      </c>
      <c r="B108">
        <v>35</v>
      </c>
      <c r="C108" t="s">
        <v>6</v>
      </c>
      <c r="D108">
        <v>2</v>
      </c>
      <c r="E108" t="str">
        <f t="shared" si="1"/>
        <v>Negative</v>
      </c>
      <c r="F108" t="s">
        <v>29</v>
      </c>
    </row>
    <row r="109" spans="1:6">
      <c r="A109" t="s">
        <v>129</v>
      </c>
      <c r="B109">
        <v>23</v>
      </c>
      <c r="C109" t="s">
        <v>6</v>
      </c>
      <c r="D109">
        <v>2</v>
      </c>
      <c r="E109" t="str">
        <f t="shared" si="1"/>
        <v>Negative</v>
      </c>
      <c r="F109" t="s">
        <v>46</v>
      </c>
    </row>
    <row r="110" spans="1:6">
      <c r="A110" t="s">
        <v>130</v>
      </c>
      <c r="B110">
        <v>52</v>
      </c>
      <c r="C110" t="s">
        <v>6</v>
      </c>
      <c r="D110">
        <v>3</v>
      </c>
      <c r="E110" t="str">
        <f t="shared" si="1"/>
        <v>Neutral</v>
      </c>
      <c r="F110" t="s">
        <v>37</v>
      </c>
    </row>
    <row r="111" spans="1:6">
      <c r="A111" t="s">
        <v>131</v>
      </c>
      <c r="B111">
        <v>48</v>
      </c>
      <c r="C111" t="s">
        <v>6</v>
      </c>
      <c r="D111">
        <v>1</v>
      </c>
      <c r="E111" t="str">
        <f t="shared" si="1"/>
        <v>Negative</v>
      </c>
      <c r="F111" t="s">
        <v>27</v>
      </c>
    </row>
    <row r="112" spans="1:6">
      <c r="A112" t="s">
        <v>132</v>
      </c>
      <c r="B112">
        <v>46</v>
      </c>
      <c r="C112" t="s">
        <v>11</v>
      </c>
      <c r="D112">
        <v>5</v>
      </c>
      <c r="E112" t="str">
        <f t="shared" si="1"/>
        <v>Positive</v>
      </c>
      <c r="F112" t="s">
        <v>53</v>
      </c>
    </row>
    <row r="113" spans="1:6">
      <c r="A113" t="s">
        <v>133</v>
      </c>
      <c r="B113">
        <v>34</v>
      </c>
      <c r="C113" t="s">
        <v>11</v>
      </c>
      <c r="D113">
        <v>2</v>
      </c>
      <c r="E113" t="str">
        <f t="shared" si="1"/>
        <v>Negative</v>
      </c>
      <c r="F113" t="s">
        <v>46</v>
      </c>
    </row>
    <row r="114" spans="1:6">
      <c r="A114" t="s">
        <v>134</v>
      </c>
      <c r="B114">
        <v>35</v>
      </c>
      <c r="C114" t="s">
        <v>11</v>
      </c>
      <c r="D114">
        <v>2</v>
      </c>
      <c r="E114" t="str">
        <f t="shared" si="1"/>
        <v>Negative</v>
      </c>
      <c r="F114" t="s">
        <v>46</v>
      </c>
    </row>
    <row r="115" spans="1:6">
      <c r="A115" t="s">
        <v>135</v>
      </c>
      <c r="B115">
        <v>53</v>
      </c>
      <c r="C115" t="s">
        <v>11</v>
      </c>
      <c r="D115">
        <v>3</v>
      </c>
      <c r="E115" t="str">
        <f t="shared" si="1"/>
        <v>Neutral</v>
      </c>
      <c r="F115" t="s">
        <v>59</v>
      </c>
    </row>
    <row r="116" spans="1:6">
      <c r="A116" t="s">
        <v>136</v>
      </c>
      <c r="B116">
        <v>22</v>
      </c>
      <c r="C116" t="s">
        <v>11</v>
      </c>
      <c r="D116">
        <v>2</v>
      </c>
      <c r="E116" t="str">
        <f t="shared" si="1"/>
        <v>Negative</v>
      </c>
      <c r="F116" t="s">
        <v>12</v>
      </c>
    </row>
    <row r="117" spans="1:6">
      <c r="A117" t="s">
        <v>137</v>
      </c>
      <c r="B117">
        <v>62</v>
      </c>
      <c r="C117" t="s">
        <v>6</v>
      </c>
      <c r="D117">
        <v>4</v>
      </c>
      <c r="E117" t="str">
        <f t="shared" si="1"/>
        <v>Positive</v>
      </c>
      <c r="F117" t="s">
        <v>9</v>
      </c>
    </row>
    <row r="118" spans="1:6">
      <c r="A118" t="s">
        <v>138</v>
      </c>
      <c r="B118">
        <v>48</v>
      </c>
      <c r="C118" t="s">
        <v>11</v>
      </c>
      <c r="D118">
        <v>3</v>
      </c>
      <c r="E118" t="str">
        <f t="shared" si="1"/>
        <v>Neutral</v>
      </c>
      <c r="F118" t="s">
        <v>50</v>
      </c>
    </row>
    <row r="119" spans="1:6">
      <c r="A119" t="s">
        <v>139</v>
      </c>
      <c r="B119">
        <v>57</v>
      </c>
      <c r="C119" t="s">
        <v>6</v>
      </c>
      <c r="D119">
        <v>1</v>
      </c>
      <c r="E119" t="str">
        <f t="shared" si="1"/>
        <v>Negative</v>
      </c>
      <c r="F119" t="s">
        <v>27</v>
      </c>
    </row>
    <row r="120" spans="1:6">
      <c r="A120" t="s">
        <v>140</v>
      </c>
      <c r="B120">
        <v>22</v>
      </c>
      <c r="C120" t="s">
        <v>11</v>
      </c>
      <c r="D120">
        <v>3</v>
      </c>
      <c r="E120" t="str">
        <f t="shared" si="1"/>
        <v>Neutral</v>
      </c>
      <c r="F120" t="s">
        <v>59</v>
      </c>
    </row>
    <row r="121" spans="1:6">
      <c r="A121" t="s">
        <v>141</v>
      </c>
      <c r="B121">
        <v>46</v>
      </c>
      <c r="C121" t="s">
        <v>11</v>
      </c>
      <c r="D121">
        <v>1</v>
      </c>
      <c r="E121" t="str">
        <f t="shared" si="1"/>
        <v>Negative</v>
      </c>
      <c r="F121" t="s">
        <v>46</v>
      </c>
    </row>
    <row r="122" spans="1:6">
      <c r="A122" t="s">
        <v>142</v>
      </c>
      <c r="B122">
        <v>60</v>
      </c>
      <c r="C122" t="s">
        <v>6</v>
      </c>
      <c r="D122">
        <v>5</v>
      </c>
      <c r="E122" t="str">
        <f t="shared" si="1"/>
        <v>Positive</v>
      </c>
      <c r="F122" t="s">
        <v>53</v>
      </c>
    </row>
    <row r="123" spans="1:6">
      <c r="A123" t="s">
        <v>143</v>
      </c>
      <c r="B123">
        <v>49</v>
      </c>
      <c r="C123" t="s">
        <v>11</v>
      </c>
      <c r="D123">
        <v>2</v>
      </c>
      <c r="E123" t="str">
        <f t="shared" si="1"/>
        <v>Negative</v>
      </c>
      <c r="F123" t="s">
        <v>27</v>
      </c>
    </row>
    <row r="124" spans="1:6">
      <c r="A124" t="s">
        <v>144</v>
      </c>
      <c r="B124">
        <v>63</v>
      </c>
      <c r="C124" t="s">
        <v>6</v>
      </c>
      <c r="D124">
        <v>2</v>
      </c>
      <c r="E124" t="str">
        <f t="shared" si="1"/>
        <v>Negative</v>
      </c>
      <c r="F124" t="s">
        <v>29</v>
      </c>
    </row>
    <row r="125" spans="1:6">
      <c r="A125" t="s">
        <v>145</v>
      </c>
      <c r="B125">
        <v>55</v>
      </c>
      <c r="C125" t="s">
        <v>6</v>
      </c>
      <c r="D125">
        <v>5</v>
      </c>
      <c r="E125" t="str">
        <f t="shared" si="1"/>
        <v>Positive</v>
      </c>
      <c r="F125" t="s">
        <v>22</v>
      </c>
    </row>
    <row r="126" spans="1:6">
      <c r="A126" t="s">
        <v>146</v>
      </c>
      <c r="B126">
        <v>24</v>
      </c>
      <c r="C126" t="s">
        <v>11</v>
      </c>
      <c r="D126">
        <v>5</v>
      </c>
      <c r="E126" t="str">
        <f t="shared" si="1"/>
        <v>Positive</v>
      </c>
      <c r="F126" t="s">
        <v>22</v>
      </c>
    </row>
    <row r="127" spans="1:6">
      <c r="A127" t="s">
        <v>147</v>
      </c>
      <c r="B127">
        <v>53</v>
      </c>
      <c r="C127" t="s">
        <v>6</v>
      </c>
      <c r="D127">
        <v>5</v>
      </c>
      <c r="E127" t="str">
        <f t="shared" si="1"/>
        <v>Positive</v>
      </c>
      <c r="F127" t="s">
        <v>9</v>
      </c>
    </row>
    <row r="128" spans="1:6">
      <c r="A128" t="s">
        <v>148</v>
      </c>
      <c r="B128">
        <v>20</v>
      </c>
      <c r="C128" t="s">
        <v>6</v>
      </c>
      <c r="D128">
        <v>2</v>
      </c>
      <c r="E128" t="str">
        <f t="shared" si="1"/>
        <v>Negative</v>
      </c>
      <c r="F128" t="s">
        <v>27</v>
      </c>
    </row>
    <row r="129" spans="1:6">
      <c r="A129" t="s">
        <v>149</v>
      </c>
      <c r="B129">
        <v>25</v>
      </c>
      <c r="C129" t="s">
        <v>6</v>
      </c>
      <c r="D129">
        <v>2</v>
      </c>
      <c r="E129" t="str">
        <f t="shared" si="1"/>
        <v>Negative</v>
      </c>
      <c r="F129" t="s">
        <v>46</v>
      </c>
    </row>
    <row r="130" spans="1:6">
      <c r="A130" t="s">
        <v>150</v>
      </c>
      <c r="B130">
        <v>57</v>
      </c>
      <c r="C130" t="s">
        <v>11</v>
      </c>
      <c r="D130">
        <v>3</v>
      </c>
      <c r="E130" t="str">
        <f t="shared" si="1"/>
        <v>Neutral</v>
      </c>
      <c r="F130" t="s">
        <v>37</v>
      </c>
    </row>
    <row r="131" spans="1:6">
      <c r="A131" t="s">
        <v>151</v>
      </c>
      <c r="B131">
        <v>36</v>
      </c>
      <c r="C131" t="s">
        <v>6</v>
      </c>
      <c r="D131">
        <v>2</v>
      </c>
      <c r="E131" t="str">
        <f t="shared" ref="E131:E194" si="2">IF(D131&gt;=4,"Positive",IF(D131=3,"Neutral","Negative"))</f>
        <v>Negative</v>
      </c>
      <c r="F131" t="s">
        <v>46</v>
      </c>
    </row>
    <row r="132" spans="1:6">
      <c r="A132" t="s">
        <v>152</v>
      </c>
      <c r="B132">
        <v>44</v>
      </c>
      <c r="C132" t="s">
        <v>11</v>
      </c>
      <c r="D132">
        <v>4</v>
      </c>
      <c r="E132" t="str">
        <f t="shared" si="2"/>
        <v>Positive</v>
      </c>
      <c r="F132" t="s">
        <v>53</v>
      </c>
    </row>
    <row r="133" spans="1:6">
      <c r="A133" t="s">
        <v>153</v>
      </c>
      <c r="B133">
        <v>34</v>
      </c>
      <c r="C133" t="s">
        <v>6</v>
      </c>
      <c r="D133">
        <v>5</v>
      </c>
      <c r="E133" t="str">
        <f t="shared" si="2"/>
        <v>Positive</v>
      </c>
      <c r="F133" t="s">
        <v>16</v>
      </c>
    </row>
    <row r="134" spans="1:6">
      <c r="A134" t="s">
        <v>154</v>
      </c>
      <c r="B134">
        <v>31</v>
      </c>
      <c r="C134" t="s">
        <v>6</v>
      </c>
      <c r="D134">
        <v>2</v>
      </c>
      <c r="E134" t="str">
        <f t="shared" si="2"/>
        <v>Negative</v>
      </c>
      <c r="F134" t="s">
        <v>12</v>
      </c>
    </row>
    <row r="135" spans="1:6">
      <c r="A135" t="s">
        <v>155</v>
      </c>
      <c r="B135">
        <v>21</v>
      </c>
      <c r="C135" t="s">
        <v>11</v>
      </c>
      <c r="D135">
        <v>5</v>
      </c>
      <c r="E135" t="str">
        <f t="shared" si="2"/>
        <v>Positive</v>
      </c>
      <c r="F135" t="s">
        <v>16</v>
      </c>
    </row>
    <row r="136" spans="1:6">
      <c r="A136" t="s">
        <v>156</v>
      </c>
      <c r="B136">
        <v>33</v>
      </c>
      <c r="C136" t="s">
        <v>11</v>
      </c>
      <c r="D136">
        <v>1</v>
      </c>
      <c r="E136" t="str">
        <f t="shared" si="2"/>
        <v>Negative</v>
      </c>
      <c r="F136" t="s">
        <v>12</v>
      </c>
    </row>
    <row r="137" spans="1:6">
      <c r="A137" t="s">
        <v>157</v>
      </c>
      <c r="B137">
        <v>26</v>
      </c>
      <c r="C137" t="s">
        <v>6</v>
      </c>
      <c r="D137">
        <v>4</v>
      </c>
      <c r="E137" t="str">
        <f t="shared" si="2"/>
        <v>Positive</v>
      </c>
      <c r="F137" t="s">
        <v>14</v>
      </c>
    </row>
    <row r="138" spans="1:6">
      <c r="A138" t="s">
        <v>158</v>
      </c>
      <c r="B138">
        <v>42</v>
      </c>
      <c r="C138" t="s">
        <v>11</v>
      </c>
      <c r="D138">
        <v>2</v>
      </c>
      <c r="E138" t="str">
        <f t="shared" si="2"/>
        <v>Negative</v>
      </c>
      <c r="F138" t="s">
        <v>27</v>
      </c>
    </row>
    <row r="139" spans="1:6">
      <c r="A139" t="s">
        <v>159</v>
      </c>
      <c r="B139">
        <v>55</v>
      </c>
      <c r="C139" t="s">
        <v>6</v>
      </c>
      <c r="D139">
        <v>1</v>
      </c>
      <c r="E139" t="str">
        <f t="shared" si="2"/>
        <v>Negative</v>
      </c>
      <c r="F139" t="s">
        <v>12</v>
      </c>
    </row>
    <row r="140" spans="1:6">
      <c r="A140" t="s">
        <v>160</v>
      </c>
      <c r="B140">
        <v>64</v>
      </c>
      <c r="C140" t="s">
        <v>6</v>
      </c>
      <c r="D140">
        <v>2</v>
      </c>
      <c r="E140" t="str">
        <f t="shared" si="2"/>
        <v>Negative</v>
      </c>
      <c r="F140" t="s">
        <v>12</v>
      </c>
    </row>
    <row r="141" spans="1:6">
      <c r="A141" t="s">
        <v>161</v>
      </c>
      <c r="B141">
        <v>28</v>
      </c>
      <c r="C141" t="s">
        <v>11</v>
      </c>
      <c r="D141">
        <v>2</v>
      </c>
      <c r="E141" t="str">
        <f t="shared" si="2"/>
        <v>Negative</v>
      </c>
      <c r="F141" t="s">
        <v>46</v>
      </c>
    </row>
    <row r="142" spans="1:6">
      <c r="A142" t="s">
        <v>162</v>
      </c>
      <c r="B142">
        <v>34</v>
      </c>
      <c r="C142" t="s">
        <v>11</v>
      </c>
      <c r="D142">
        <v>3</v>
      </c>
      <c r="E142" t="str">
        <f t="shared" si="2"/>
        <v>Neutral</v>
      </c>
      <c r="F142" t="s">
        <v>59</v>
      </c>
    </row>
    <row r="143" spans="1:6">
      <c r="A143" t="s">
        <v>163</v>
      </c>
      <c r="B143">
        <v>49</v>
      </c>
      <c r="C143" t="s">
        <v>11</v>
      </c>
      <c r="D143">
        <v>5</v>
      </c>
      <c r="E143" t="str">
        <f t="shared" si="2"/>
        <v>Positive</v>
      </c>
      <c r="F143" t="s">
        <v>14</v>
      </c>
    </row>
    <row r="144" spans="1:6">
      <c r="A144" t="s">
        <v>164</v>
      </c>
      <c r="B144">
        <v>26</v>
      </c>
      <c r="C144" t="s">
        <v>11</v>
      </c>
      <c r="D144">
        <v>1</v>
      </c>
      <c r="E144" t="str">
        <f t="shared" si="2"/>
        <v>Negative</v>
      </c>
      <c r="F144" t="s">
        <v>46</v>
      </c>
    </row>
    <row r="145" spans="1:6">
      <c r="A145" t="s">
        <v>165</v>
      </c>
      <c r="B145">
        <v>44</v>
      </c>
      <c r="C145" t="s">
        <v>11</v>
      </c>
      <c r="D145">
        <v>1</v>
      </c>
      <c r="E145" t="str">
        <f t="shared" si="2"/>
        <v>Negative</v>
      </c>
      <c r="F145" t="s">
        <v>27</v>
      </c>
    </row>
    <row r="146" spans="1:6">
      <c r="A146" t="s">
        <v>166</v>
      </c>
      <c r="B146">
        <v>50</v>
      </c>
      <c r="C146" t="s">
        <v>11</v>
      </c>
      <c r="D146">
        <v>4</v>
      </c>
      <c r="E146" t="str">
        <f t="shared" si="2"/>
        <v>Positive</v>
      </c>
      <c r="F146" t="s">
        <v>14</v>
      </c>
    </row>
    <row r="147" spans="1:6">
      <c r="A147" t="s">
        <v>167</v>
      </c>
      <c r="B147">
        <v>61</v>
      </c>
      <c r="C147" t="s">
        <v>6</v>
      </c>
      <c r="D147">
        <v>2</v>
      </c>
      <c r="E147" t="str">
        <f t="shared" si="2"/>
        <v>Negative</v>
      </c>
      <c r="F147" t="s">
        <v>46</v>
      </c>
    </row>
    <row r="148" spans="1:6">
      <c r="A148" t="s">
        <v>168</v>
      </c>
      <c r="B148">
        <v>59</v>
      </c>
      <c r="C148" t="s">
        <v>11</v>
      </c>
      <c r="D148">
        <v>5</v>
      </c>
      <c r="E148" t="str">
        <f t="shared" si="2"/>
        <v>Positive</v>
      </c>
      <c r="F148" t="s">
        <v>14</v>
      </c>
    </row>
    <row r="149" spans="1:6">
      <c r="A149" t="s">
        <v>169</v>
      </c>
      <c r="B149">
        <v>24</v>
      </c>
      <c r="C149" t="s">
        <v>11</v>
      </c>
      <c r="D149">
        <v>1</v>
      </c>
      <c r="E149" t="str">
        <f t="shared" si="2"/>
        <v>Negative</v>
      </c>
      <c r="F149" t="s">
        <v>12</v>
      </c>
    </row>
    <row r="150" spans="1:6">
      <c r="A150" t="s">
        <v>170</v>
      </c>
      <c r="B150">
        <v>40</v>
      </c>
      <c r="C150" t="s">
        <v>11</v>
      </c>
      <c r="D150">
        <v>5</v>
      </c>
      <c r="E150" t="str">
        <f t="shared" si="2"/>
        <v>Positive</v>
      </c>
      <c r="F150" t="s">
        <v>22</v>
      </c>
    </row>
    <row r="151" spans="1:6">
      <c r="A151" t="s">
        <v>171</v>
      </c>
      <c r="B151">
        <v>56</v>
      </c>
      <c r="C151" t="s">
        <v>6</v>
      </c>
      <c r="D151">
        <v>2</v>
      </c>
      <c r="E151" t="str">
        <f t="shared" si="2"/>
        <v>Negative</v>
      </c>
      <c r="F151" t="s">
        <v>25</v>
      </c>
    </row>
    <row r="152" spans="1:6">
      <c r="A152" t="s">
        <v>172</v>
      </c>
      <c r="B152">
        <v>63</v>
      </c>
      <c r="C152" t="s">
        <v>6</v>
      </c>
      <c r="D152">
        <v>3</v>
      </c>
      <c r="E152" t="str">
        <f t="shared" si="2"/>
        <v>Neutral</v>
      </c>
      <c r="F152" t="s">
        <v>50</v>
      </c>
    </row>
    <row r="153" spans="1:6">
      <c r="A153" t="s">
        <v>173</v>
      </c>
      <c r="B153">
        <v>27</v>
      </c>
      <c r="C153" t="s">
        <v>11</v>
      </c>
      <c r="D153">
        <v>2</v>
      </c>
      <c r="E153" t="str">
        <f t="shared" si="2"/>
        <v>Negative</v>
      </c>
      <c r="F153" t="s">
        <v>25</v>
      </c>
    </row>
    <row r="154" spans="1:6">
      <c r="A154" t="s">
        <v>174</v>
      </c>
      <c r="B154">
        <v>30</v>
      </c>
      <c r="C154" t="s">
        <v>6</v>
      </c>
      <c r="D154">
        <v>5</v>
      </c>
      <c r="E154" t="str">
        <f t="shared" si="2"/>
        <v>Positive</v>
      </c>
      <c r="F154" t="s">
        <v>16</v>
      </c>
    </row>
    <row r="155" spans="1:6">
      <c r="A155" t="s">
        <v>175</v>
      </c>
      <c r="B155">
        <v>22</v>
      </c>
      <c r="C155" t="s">
        <v>6</v>
      </c>
      <c r="D155">
        <v>4</v>
      </c>
      <c r="E155" t="str">
        <f t="shared" si="2"/>
        <v>Positive</v>
      </c>
      <c r="F155" t="s">
        <v>16</v>
      </c>
    </row>
    <row r="156" spans="1:6">
      <c r="A156" t="s">
        <v>176</v>
      </c>
      <c r="B156">
        <v>54</v>
      </c>
      <c r="C156" t="s">
        <v>6</v>
      </c>
      <c r="D156">
        <v>2</v>
      </c>
      <c r="E156" t="str">
        <f t="shared" si="2"/>
        <v>Negative</v>
      </c>
      <c r="F156" t="s">
        <v>46</v>
      </c>
    </row>
    <row r="157" spans="1:6">
      <c r="A157" t="s">
        <v>177</v>
      </c>
      <c r="B157">
        <v>65</v>
      </c>
      <c r="C157" t="s">
        <v>11</v>
      </c>
      <c r="D157">
        <v>5</v>
      </c>
      <c r="E157" t="str">
        <f t="shared" si="2"/>
        <v>Positive</v>
      </c>
      <c r="F157" t="s">
        <v>53</v>
      </c>
    </row>
    <row r="158" spans="1:6">
      <c r="A158" t="s">
        <v>178</v>
      </c>
      <c r="B158">
        <v>43</v>
      </c>
      <c r="C158" t="s">
        <v>11</v>
      </c>
      <c r="D158">
        <v>1</v>
      </c>
      <c r="E158" t="str">
        <f t="shared" si="2"/>
        <v>Negative</v>
      </c>
      <c r="F158" t="s">
        <v>46</v>
      </c>
    </row>
    <row r="159" spans="1:6">
      <c r="A159" t="s">
        <v>179</v>
      </c>
      <c r="B159">
        <v>46</v>
      </c>
      <c r="C159" t="s">
        <v>11</v>
      </c>
      <c r="D159">
        <v>2</v>
      </c>
      <c r="E159" t="str">
        <f t="shared" si="2"/>
        <v>Negative</v>
      </c>
      <c r="F159" t="s">
        <v>12</v>
      </c>
    </row>
    <row r="160" spans="1:6">
      <c r="A160" t="s">
        <v>180</v>
      </c>
      <c r="B160">
        <v>20</v>
      </c>
      <c r="C160" t="s">
        <v>6</v>
      </c>
      <c r="D160">
        <v>3</v>
      </c>
      <c r="E160" t="str">
        <f t="shared" si="2"/>
        <v>Neutral</v>
      </c>
      <c r="F160" t="s">
        <v>59</v>
      </c>
    </row>
    <row r="161" spans="1:6">
      <c r="A161" t="s">
        <v>181</v>
      </c>
      <c r="B161">
        <v>26</v>
      </c>
      <c r="C161" t="s">
        <v>6</v>
      </c>
      <c r="D161">
        <v>5</v>
      </c>
      <c r="E161" t="str">
        <f t="shared" si="2"/>
        <v>Positive</v>
      </c>
      <c r="F161" t="s">
        <v>16</v>
      </c>
    </row>
    <row r="162" spans="1:6">
      <c r="A162" t="s">
        <v>182</v>
      </c>
      <c r="B162">
        <v>64</v>
      </c>
      <c r="C162" t="s">
        <v>6</v>
      </c>
      <c r="D162">
        <v>4</v>
      </c>
      <c r="E162" t="str">
        <f t="shared" si="2"/>
        <v>Positive</v>
      </c>
      <c r="F162" t="s">
        <v>53</v>
      </c>
    </row>
    <row r="163" spans="1:6">
      <c r="A163" t="s">
        <v>183</v>
      </c>
      <c r="B163">
        <v>36</v>
      </c>
      <c r="C163" t="s">
        <v>6</v>
      </c>
      <c r="D163">
        <v>2</v>
      </c>
      <c r="E163" t="str">
        <f t="shared" si="2"/>
        <v>Negative</v>
      </c>
      <c r="F163" t="s">
        <v>27</v>
      </c>
    </row>
    <row r="164" spans="1:6">
      <c r="A164" t="s">
        <v>184</v>
      </c>
      <c r="B164">
        <v>31</v>
      </c>
      <c r="C164" t="s">
        <v>6</v>
      </c>
      <c r="D164">
        <v>2</v>
      </c>
      <c r="E164" t="str">
        <f t="shared" si="2"/>
        <v>Negative</v>
      </c>
      <c r="F164" t="s">
        <v>25</v>
      </c>
    </row>
    <row r="165" spans="1:6">
      <c r="A165" t="s">
        <v>185</v>
      </c>
      <c r="B165">
        <v>43</v>
      </c>
      <c r="C165" t="s">
        <v>11</v>
      </c>
      <c r="D165">
        <v>4</v>
      </c>
      <c r="E165" t="str">
        <f t="shared" si="2"/>
        <v>Positive</v>
      </c>
      <c r="F165" t="s">
        <v>9</v>
      </c>
    </row>
    <row r="166" spans="1:6">
      <c r="A166" t="s">
        <v>186</v>
      </c>
      <c r="B166">
        <v>46</v>
      </c>
      <c r="C166" t="s">
        <v>6</v>
      </c>
      <c r="D166">
        <v>3</v>
      </c>
      <c r="E166" t="str">
        <f t="shared" si="2"/>
        <v>Neutral</v>
      </c>
      <c r="F166" t="s">
        <v>7</v>
      </c>
    </row>
    <row r="167" spans="1:6">
      <c r="A167" t="s">
        <v>187</v>
      </c>
      <c r="B167">
        <v>49</v>
      </c>
      <c r="C167" t="s">
        <v>6</v>
      </c>
      <c r="D167">
        <v>2</v>
      </c>
      <c r="E167" t="str">
        <f t="shared" si="2"/>
        <v>Negative</v>
      </c>
      <c r="F167" t="s">
        <v>25</v>
      </c>
    </row>
    <row r="168" spans="1:6">
      <c r="A168" t="s">
        <v>188</v>
      </c>
      <c r="B168">
        <v>43</v>
      </c>
      <c r="C168" t="s">
        <v>11</v>
      </c>
      <c r="D168">
        <v>4</v>
      </c>
      <c r="E168" t="str">
        <f t="shared" si="2"/>
        <v>Positive</v>
      </c>
      <c r="F168" t="s">
        <v>14</v>
      </c>
    </row>
    <row r="169" spans="1:6">
      <c r="A169" t="s">
        <v>189</v>
      </c>
      <c r="B169">
        <v>64</v>
      </c>
      <c r="C169" t="s">
        <v>6</v>
      </c>
      <c r="D169">
        <v>1</v>
      </c>
      <c r="E169" t="str">
        <f t="shared" si="2"/>
        <v>Negative</v>
      </c>
      <c r="F169" t="s">
        <v>12</v>
      </c>
    </row>
    <row r="170" spans="1:6">
      <c r="A170" t="s">
        <v>190</v>
      </c>
      <c r="B170">
        <v>49</v>
      </c>
      <c r="C170" t="s">
        <v>11</v>
      </c>
      <c r="D170">
        <v>1</v>
      </c>
      <c r="E170" t="str">
        <f t="shared" si="2"/>
        <v>Negative</v>
      </c>
      <c r="F170" t="s">
        <v>46</v>
      </c>
    </row>
    <row r="171" spans="1:6">
      <c r="A171" t="s">
        <v>191</v>
      </c>
      <c r="B171">
        <v>35</v>
      </c>
      <c r="C171" t="s">
        <v>6</v>
      </c>
      <c r="D171">
        <v>2</v>
      </c>
      <c r="E171" t="str">
        <f t="shared" si="2"/>
        <v>Negative</v>
      </c>
      <c r="F171" t="s">
        <v>25</v>
      </c>
    </row>
    <row r="172" spans="1:6">
      <c r="A172" t="s">
        <v>192</v>
      </c>
      <c r="B172">
        <v>24</v>
      </c>
      <c r="C172" t="s">
        <v>11</v>
      </c>
      <c r="D172">
        <v>1</v>
      </c>
      <c r="E172" t="str">
        <f t="shared" si="2"/>
        <v>Negative</v>
      </c>
      <c r="F172" t="s">
        <v>12</v>
      </c>
    </row>
    <row r="173" spans="1:6">
      <c r="A173" t="s">
        <v>193</v>
      </c>
      <c r="B173">
        <v>41</v>
      </c>
      <c r="C173" t="s">
        <v>6</v>
      </c>
      <c r="D173">
        <v>3</v>
      </c>
      <c r="E173" t="str">
        <f t="shared" si="2"/>
        <v>Neutral</v>
      </c>
      <c r="F173" t="s">
        <v>7</v>
      </c>
    </row>
    <row r="174" spans="1:6">
      <c r="A174" t="s">
        <v>194</v>
      </c>
      <c r="B174">
        <v>28</v>
      </c>
      <c r="C174" t="s">
        <v>11</v>
      </c>
      <c r="D174">
        <v>3</v>
      </c>
      <c r="E174" t="str">
        <f t="shared" si="2"/>
        <v>Neutral</v>
      </c>
      <c r="F174" t="s">
        <v>59</v>
      </c>
    </row>
    <row r="175" spans="1:6">
      <c r="A175" t="s">
        <v>195</v>
      </c>
      <c r="B175">
        <v>39</v>
      </c>
      <c r="C175" t="s">
        <v>6</v>
      </c>
      <c r="D175">
        <v>4</v>
      </c>
      <c r="E175" t="str">
        <f t="shared" si="2"/>
        <v>Positive</v>
      </c>
      <c r="F175" t="s">
        <v>14</v>
      </c>
    </row>
    <row r="176" spans="1:6">
      <c r="A176" t="s">
        <v>196</v>
      </c>
      <c r="B176">
        <v>51</v>
      </c>
      <c r="C176" t="s">
        <v>6</v>
      </c>
      <c r="D176">
        <v>3</v>
      </c>
      <c r="E176" t="str">
        <f t="shared" si="2"/>
        <v>Neutral</v>
      </c>
      <c r="F176" t="s">
        <v>7</v>
      </c>
    </row>
    <row r="177" spans="1:6">
      <c r="A177" t="s">
        <v>197</v>
      </c>
      <c r="B177">
        <v>61</v>
      </c>
      <c r="C177" t="s">
        <v>6</v>
      </c>
      <c r="D177">
        <v>4</v>
      </c>
      <c r="E177" t="str">
        <f t="shared" si="2"/>
        <v>Positive</v>
      </c>
      <c r="F177" t="s">
        <v>14</v>
      </c>
    </row>
    <row r="178" spans="1:6">
      <c r="A178" t="s">
        <v>198</v>
      </c>
      <c r="B178">
        <v>19</v>
      </c>
      <c r="C178" t="s">
        <v>11</v>
      </c>
      <c r="D178">
        <v>4</v>
      </c>
      <c r="E178" t="str">
        <f t="shared" si="2"/>
        <v>Positive</v>
      </c>
      <c r="F178" t="s">
        <v>14</v>
      </c>
    </row>
    <row r="179" spans="1:6">
      <c r="A179" t="s">
        <v>199</v>
      </c>
      <c r="B179">
        <v>60</v>
      </c>
      <c r="C179" t="s">
        <v>11</v>
      </c>
      <c r="D179">
        <v>4</v>
      </c>
      <c r="E179" t="str">
        <f t="shared" si="2"/>
        <v>Positive</v>
      </c>
      <c r="F179" t="s">
        <v>22</v>
      </c>
    </row>
    <row r="180" spans="1:6">
      <c r="A180" t="s">
        <v>200</v>
      </c>
      <c r="B180">
        <v>19</v>
      </c>
      <c r="C180" t="s">
        <v>11</v>
      </c>
      <c r="D180">
        <v>1</v>
      </c>
      <c r="E180" t="str">
        <f t="shared" si="2"/>
        <v>Negative</v>
      </c>
      <c r="F180" t="s">
        <v>29</v>
      </c>
    </row>
    <row r="181" spans="1:6">
      <c r="A181" t="s">
        <v>201</v>
      </c>
      <c r="B181">
        <v>63</v>
      </c>
      <c r="C181" t="s">
        <v>11</v>
      </c>
      <c r="D181">
        <v>1</v>
      </c>
      <c r="E181" t="str">
        <f t="shared" si="2"/>
        <v>Negative</v>
      </c>
      <c r="F181" t="s">
        <v>27</v>
      </c>
    </row>
    <row r="182" spans="1:6">
      <c r="A182" t="s">
        <v>202</v>
      </c>
      <c r="B182">
        <v>22</v>
      </c>
      <c r="C182" t="s">
        <v>6</v>
      </c>
      <c r="D182">
        <v>5</v>
      </c>
      <c r="E182" t="str">
        <f t="shared" si="2"/>
        <v>Positive</v>
      </c>
      <c r="F182" t="s">
        <v>9</v>
      </c>
    </row>
    <row r="183" spans="1:6">
      <c r="A183" t="s">
        <v>203</v>
      </c>
      <c r="B183">
        <v>34</v>
      </c>
      <c r="C183" t="s">
        <v>11</v>
      </c>
      <c r="D183">
        <v>5</v>
      </c>
      <c r="E183" t="str">
        <f t="shared" si="2"/>
        <v>Positive</v>
      </c>
      <c r="F183" t="s">
        <v>22</v>
      </c>
    </row>
    <row r="184" spans="1:6">
      <c r="A184" t="s">
        <v>204</v>
      </c>
      <c r="B184">
        <v>27</v>
      </c>
      <c r="C184" t="s">
        <v>11</v>
      </c>
      <c r="D184">
        <v>2</v>
      </c>
      <c r="E184" t="str">
        <f t="shared" si="2"/>
        <v>Negative</v>
      </c>
      <c r="F184" t="s">
        <v>27</v>
      </c>
    </row>
    <row r="185" spans="1:6">
      <c r="A185" t="s">
        <v>205</v>
      </c>
      <c r="B185">
        <v>24</v>
      </c>
      <c r="C185" t="s">
        <v>11</v>
      </c>
      <c r="D185">
        <v>5</v>
      </c>
      <c r="E185" t="str">
        <f t="shared" si="2"/>
        <v>Positive</v>
      </c>
      <c r="F185" t="s">
        <v>22</v>
      </c>
    </row>
    <row r="186" spans="1:6">
      <c r="A186" t="s">
        <v>206</v>
      </c>
      <c r="B186">
        <v>56</v>
      </c>
      <c r="C186" t="s">
        <v>6</v>
      </c>
      <c r="D186">
        <v>1</v>
      </c>
      <c r="E186" t="str">
        <f t="shared" si="2"/>
        <v>Negative</v>
      </c>
      <c r="F186" t="s">
        <v>29</v>
      </c>
    </row>
    <row r="187" spans="1:6">
      <c r="A187" t="s">
        <v>207</v>
      </c>
      <c r="B187">
        <v>32</v>
      </c>
      <c r="C187" t="s">
        <v>6</v>
      </c>
      <c r="D187">
        <v>3</v>
      </c>
      <c r="E187" t="str">
        <f t="shared" si="2"/>
        <v>Neutral</v>
      </c>
      <c r="F187" t="s">
        <v>59</v>
      </c>
    </row>
    <row r="188" spans="1:6">
      <c r="A188" t="s">
        <v>208</v>
      </c>
      <c r="B188">
        <v>30</v>
      </c>
      <c r="C188" t="s">
        <v>11</v>
      </c>
      <c r="D188">
        <v>2</v>
      </c>
      <c r="E188" t="str">
        <f t="shared" si="2"/>
        <v>Negative</v>
      </c>
      <c r="F188" t="s">
        <v>25</v>
      </c>
    </row>
    <row r="189" spans="1:6">
      <c r="A189" t="s">
        <v>209</v>
      </c>
      <c r="B189">
        <v>56</v>
      </c>
      <c r="C189" t="s">
        <v>6</v>
      </c>
      <c r="D189">
        <v>1</v>
      </c>
      <c r="E189" t="str">
        <f t="shared" si="2"/>
        <v>Negative</v>
      </c>
      <c r="F189" t="s">
        <v>12</v>
      </c>
    </row>
    <row r="190" spans="1:6">
      <c r="A190" t="s">
        <v>210</v>
      </c>
      <c r="B190">
        <v>59</v>
      </c>
      <c r="C190" t="s">
        <v>11</v>
      </c>
      <c r="D190">
        <v>2</v>
      </c>
      <c r="E190" t="str">
        <f t="shared" si="2"/>
        <v>Negative</v>
      </c>
      <c r="F190" t="s">
        <v>29</v>
      </c>
    </row>
    <row r="191" spans="1:6">
      <c r="A191" t="s">
        <v>211</v>
      </c>
      <c r="B191">
        <v>38</v>
      </c>
      <c r="C191" t="s">
        <v>11</v>
      </c>
      <c r="D191">
        <v>3</v>
      </c>
      <c r="E191" t="str">
        <f t="shared" si="2"/>
        <v>Neutral</v>
      </c>
      <c r="F191" t="s">
        <v>20</v>
      </c>
    </row>
    <row r="192" spans="1:6">
      <c r="A192" t="s">
        <v>212</v>
      </c>
      <c r="B192">
        <v>61</v>
      </c>
      <c r="C192" t="s">
        <v>11</v>
      </c>
      <c r="D192">
        <v>3</v>
      </c>
      <c r="E192" t="str">
        <f t="shared" si="2"/>
        <v>Neutral</v>
      </c>
      <c r="F192" t="s">
        <v>50</v>
      </c>
    </row>
    <row r="193" spans="1:6">
      <c r="A193" t="s">
        <v>213</v>
      </c>
      <c r="B193">
        <v>47</v>
      </c>
      <c r="C193" t="s">
        <v>11</v>
      </c>
      <c r="D193">
        <v>4</v>
      </c>
      <c r="E193" t="str">
        <f t="shared" si="2"/>
        <v>Positive</v>
      </c>
      <c r="F193" t="s">
        <v>9</v>
      </c>
    </row>
    <row r="194" spans="1:6">
      <c r="A194" t="s">
        <v>214</v>
      </c>
      <c r="B194">
        <v>35</v>
      </c>
      <c r="C194" t="s">
        <v>11</v>
      </c>
      <c r="D194">
        <v>4</v>
      </c>
      <c r="E194" t="str">
        <f t="shared" si="2"/>
        <v>Positive</v>
      </c>
      <c r="F194" t="s">
        <v>9</v>
      </c>
    </row>
    <row r="195" spans="1:6">
      <c r="A195" t="s">
        <v>215</v>
      </c>
      <c r="B195">
        <v>52</v>
      </c>
      <c r="C195" t="s">
        <v>6</v>
      </c>
      <c r="D195">
        <v>5</v>
      </c>
      <c r="E195" t="str">
        <f t="shared" ref="E195:E258" si="3">IF(D195&gt;=4,"Positive",IF(D195=3,"Neutral","Negative"))</f>
        <v>Positive</v>
      </c>
      <c r="F195" t="s">
        <v>53</v>
      </c>
    </row>
    <row r="196" spans="1:6">
      <c r="A196" t="s">
        <v>216</v>
      </c>
      <c r="B196">
        <v>48</v>
      </c>
      <c r="C196" t="s">
        <v>11</v>
      </c>
      <c r="D196">
        <v>2</v>
      </c>
      <c r="E196" t="str">
        <f t="shared" si="3"/>
        <v>Negative</v>
      </c>
      <c r="F196" t="s">
        <v>25</v>
      </c>
    </row>
    <row r="197" spans="1:6">
      <c r="A197" t="s">
        <v>217</v>
      </c>
      <c r="B197">
        <v>24</v>
      </c>
      <c r="C197" t="s">
        <v>11</v>
      </c>
      <c r="D197">
        <v>5</v>
      </c>
      <c r="E197" t="str">
        <f t="shared" si="3"/>
        <v>Positive</v>
      </c>
      <c r="F197" t="s">
        <v>53</v>
      </c>
    </row>
    <row r="198" spans="1:6">
      <c r="A198" t="s">
        <v>218</v>
      </c>
      <c r="B198">
        <v>26</v>
      </c>
      <c r="C198" t="s">
        <v>11</v>
      </c>
      <c r="D198">
        <v>1</v>
      </c>
      <c r="E198" t="str">
        <f t="shared" si="3"/>
        <v>Negative</v>
      </c>
      <c r="F198" t="s">
        <v>12</v>
      </c>
    </row>
    <row r="199" spans="1:6">
      <c r="A199" t="s">
        <v>219</v>
      </c>
      <c r="B199">
        <v>42</v>
      </c>
      <c r="C199" t="s">
        <v>11</v>
      </c>
      <c r="D199">
        <v>4</v>
      </c>
      <c r="E199" t="str">
        <f t="shared" si="3"/>
        <v>Positive</v>
      </c>
      <c r="F199" t="s">
        <v>14</v>
      </c>
    </row>
    <row r="200" spans="1:6">
      <c r="A200" t="s">
        <v>220</v>
      </c>
      <c r="B200">
        <v>36</v>
      </c>
      <c r="C200" t="s">
        <v>11</v>
      </c>
      <c r="D200">
        <v>1</v>
      </c>
      <c r="E200" t="str">
        <f t="shared" si="3"/>
        <v>Negative</v>
      </c>
      <c r="F200" t="s">
        <v>12</v>
      </c>
    </row>
    <row r="201" spans="1:6">
      <c r="A201" t="s">
        <v>221</v>
      </c>
      <c r="B201">
        <v>49</v>
      </c>
      <c r="C201" t="s">
        <v>11</v>
      </c>
      <c r="D201">
        <v>1</v>
      </c>
      <c r="E201" t="str">
        <f t="shared" si="3"/>
        <v>Negative</v>
      </c>
      <c r="F201" t="s">
        <v>25</v>
      </c>
    </row>
    <row r="202" spans="1:6">
      <c r="A202" t="s">
        <v>222</v>
      </c>
      <c r="B202">
        <v>47</v>
      </c>
      <c r="C202" t="s">
        <v>6</v>
      </c>
      <c r="D202">
        <v>4</v>
      </c>
      <c r="E202" t="str">
        <f t="shared" si="3"/>
        <v>Positive</v>
      </c>
      <c r="F202" t="s">
        <v>14</v>
      </c>
    </row>
    <row r="203" spans="1:6">
      <c r="A203" t="s">
        <v>223</v>
      </c>
      <c r="B203">
        <v>34</v>
      </c>
      <c r="C203" t="s">
        <v>6</v>
      </c>
      <c r="D203">
        <v>5</v>
      </c>
      <c r="E203" t="str">
        <f t="shared" si="3"/>
        <v>Positive</v>
      </c>
      <c r="F203" t="s">
        <v>14</v>
      </c>
    </row>
    <row r="204" spans="1:6">
      <c r="A204" t="s">
        <v>224</v>
      </c>
      <c r="B204">
        <v>48</v>
      </c>
      <c r="C204" t="s">
        <v>11</v>
      </c>
      <c r="D204">
        <v>4</v>
      </c>
      <c r="E204" t="str">
        <f t="shared" si="3"/>
        <v>Positive</v>
      </c>
      <c r="F204" t="s">
        <v>16</v>
      </c>
    </row>
    <row r="205" spans="1:6">
      <c r="A205" t="s">
        <v>225</v>
      </c>
      <c r="B205">
        <v>62</v>
      </c>
      <c r="C205" t="s">
        <v>11</v>
      </c>
      <c r="D205">
        <v>3</v>
      </c>
      <c r="E205" t="str">
        <f t="shared" si="3"/>
        <v>Neutral</v>
      </c>
      <c r="F205" t="s">
        <v>50</v>
      </c>
    </row>
    <row r="206" spans="1:6">
      <c r="A206" t="s">
        <v>226</v>
      </c>
      <c r="B206">
        <v>43</v>
      </c>
      <c r="C206" t="s">
        <v>6</v>
      </c>
      <c r="D206">
        <v>4</v>
      </c>
      <c r="E206" t="str">
        <f t="shared" si="3"/>
        <v>Positive</v>
      </c>
      <c r="F206" t="s">
        <v>16</v>
      </c>
    </row>
    <row r="207" spans="1:6">
      <c r="A207" t="s">
        <v>227</v>
      </c>
      <c r="B207">
        <v>50</v>
      </c>
      <c r="C207" t="s">
        <v>6</v>
      </c>
      <c r="D207">
        <v>5</v>
      </c>
      <c r="E207" t="str">
        <f t="shared" si="3"/>
        <v>Positive</v>
      </c>
      <c r="F207" t="s">
        <v>14</v>
      </c>
    </row>
    <row r="208" spans="1:6">
      <c r="A208" t="s">
        <v>228</v>
      </c>
      <c r="B208">
        <v>38</v>
      </c>
      <c r="C208" t="s">
        <v>11</v>
      </c>
      <c r="D208">
        <v>2</v>
      </c>
      <c r="E208" t="str">
        <f t="shared" si="3"/>
        <v>Negative</v>
      </c>
      <c r="F208" t="s">
        <v>27</v>
      </c>
    </row>
    <row r="209" spans="1:6">
      <c r="A209" t="s">
        <v>229</v>
      </c>
      <c r="B209">
        <v>22</v>
      </c>
      <c r="C209" t="s">
        <v>11</v>
      </c>
      <c r="D209">
        <v>4</v>
      </c>
      <c r="E209" t="str">
        <f t="shared" si="3"/>
        <v>Positive</v>
      </c>
      <c r="F209" t="s">
        <v>16</v>
      </c>
    </row>
    <row r="210" spans="1:6">
      <c r="A210" t="s">
        <v>230</v>
      </c>
      <c r="B210">
        <v>26</v>
      </c>
      <c r="C210" t="s">
        <v>11</v>
      </c>
      <c r="D210">
        <v>4</v>
      </c>
      <c r="E210" t="str">
        <f t="shared" si="3"/>
        <v>Positive</v>
      </c>
      <c r="F210" t="s">
        <v>53</v>
      </c>
    </row>
    <row r="211" spans="1:6">
      <c r="A211" t="s">
        <v>231</v>
      </c>
      <c r="B211">
        <v>38</v>
      </c>
      <c r="C211" t="s">
        <v>11</v>
      </c>
      <c r="D211">
        <v>3</v>
      </c>
      <c r="E211" t="str">
        <f t="shared" si="3"/>
        <v>Neutral</v>
      </c>
      <c r="F211" t="s">
        <v>50</v>
      </c>
    </row>
    <row r="212" spans="1:6">
      <c r="A212" t="s">
        <v>232</v>
      </c>
      <c r="B212">
        <v>62</v>
      </c>
      <c r="C212" t="s">
        <v>11</v>
      </c>
      <c r="D212">
        <v>1</v>
      </c>
      <c r="E212" t="str">
        <f t="shared" si="3"/>
        <v>Negative</v>
      </c>
      <c r="F212" t="s">
        <v>27</v>
      </c>
    </row>
    <row r="213" spans="1:6">
      <c r="A213" t="s">
        <v>233</v>
      </c>
      <c r="B213">
        <v>42</v>
      </c>
      <c r="C213" t="s">
        <v>11</v>
      </c>
      <c r="D213">
        <v>2</v>
      </c>
      <c r="E213" t="str">
        <f t="shared" si="3"/>
        <v>Negative</v>
      </c>
      <c r="F213" t="s">
        <v>29</v>
      </c>
    </row>
    <row r="214" spans="1:6">
      <c r="A214" t="s">
        <v>234</v>
      </c>
      <c r="B214">
        <v>62</v>
      </c>
      <c r="C214" t="s">
        <v>6</v>
      </c>
      <c r="D214">
        <v>5</v>
      </c>
      <c r="E214" t="str">
        <f t="shared" si="3"/>
        <v>Positive</v>
      </c>
      <c r="F214" t="s">
        <v>14</v>
      </c>
    </row>
    <row r="215" spans="1:6">
      <c r="A215" t="s">
        <v>235</v>
      </c>
      <c r="B215">
        <v>37</v>
      </c>
      <c r="C215" t="s">
        <v>6</v>
      </c>
      <c r="D215">
        <v>4</v>
      </c>
      <c r="E215" t="str">
        <f t="shared" si="3"/>
        <v>Positive</v>
      </c>
      <c r="F215" t="s">
        <v>14</v>
      </c>
    </row>
    <row r="216" spans="1:6">
      <c r="A216" t="s">
        <v>236</v>
      </c>
      <c r="B216">
        <v>45</v>
      </c>
      <c r="C216" t="s">
        <v>6</v>
      </c>
      <c r="D216">
        <v>2</v>
      </c>
      <c r="E216" t="str">
        <f t="shared" si="3"/>
        <v>Negative</v>
      </c>
      <c r="F216" t="s">
        <v>46</v>
      </c>
    </row>
    <row r="217" spans="1:6">
      <c r="A217" t="s">
        <v>237</v>
      </c>
      <c r="B217">
        <v>44</v>
      </c>
      <c r="C217" t="s">
        <v>11</v>
      </c>
      <c r="D217">
        <v>5</v>
      </c>
      <c r="E217" t="str">
        <f t="shared" si="3"/>
        <v>Positive</v>
      </c>
      <c r="F217" t="s">
        <v>9</v>
      </c>
    </row>
    <row r="218" spans="1:6">
      <c r="A218" t="s">
        <v>238</v>
      </c>
      <c r="B218">
        <v>61</v>
      </c>
      <c r="C218" t="s">
        <v>6</v>
      </c>
      <c r="D218">
        <v>4</v>
      </c>
      <c r="E218" t="str">
        <f t="shared" si="3"/>
        <v>Positive</v>
      </c>
      <c r="F218" t="s">
        <v>9</v>
      </c>
    </row>
    <row r="219" spans="1:6">
      <c r="A219" t="s">
        <v>239</v>
      </c>
      <c r="B219">
        <v>34</v>
      </c>
      <c r="C219" t="s">
        <v>11</v>
      </c>
      <c r="D219">
        <v>4</v>
      </c>
      <c r="E219" t="str">
        <f t="shared" si="3"/>
        <v>Positive</v>
      </c>
      <c r="F219" t="s">
        <v>16</v>
      </c>
    </row>
    <row r="220" spans="1:6">
      <c r="A220" t="s">
        <v>240</v>
      </c>
      <c r="B220">
        <v>60</v>
      </c>
      <c r="C220" t="s">
        <v>6</v>
      </c>
      <c r="D220">
        <v>4</v>
      </c>
      <c r="E220" t="str">
        <f t="shared" si="3"/>
        <v>Positive</v>
      </c>
      <c r="F220" t="s">
        <v>16</v>
      </c>
    </row>
    <row r="221" spans="1:6">
      <c r="A221" t="s">
        <v>241</v>
      </c>
      <c r="B221">
        <v>24</v>
      </c>
      <c r="C221" t="s">
        <v>11</v>
      </c>
      <c r="D221">
        <v>4</v>
      </c>
      <c r="E221" t="str">
        <f t="shared" si="3"/>
        <v>Positive</v>
      </c>
      <c r="F221" t="s">
        <v>14</v>
      </c>
    </row>
    <row r="222" spans="1:6">
      <c r="A222" t="s">
        <v>242</v>
      </c>
      <c r="B222">
        <v>51</v>
      </c>
      <c r="C222" t="s">
        <v>11</v>
      </c>
      <c r="D222">
        <v>1</v>
      </c>
      <c r="E222" t="str">
        <f t="shared" si="3"/>
        <v>Negative</v>
      </c>
      <c r="F222" t="s">
        <v>25</v>
      </c>
    </row>
    <row r="223" spans="1:6">
      <c r="A223" t="s">
        <v>243</v>
      </c>
      <c r="B223">
        <v>59</v>
      </c>
      <c r="C223" t="s">
        <v>11</v>
      </c>
      <c r="D223">
        <v>4</v>
      </c>
      <c r="E223" t="str">
        <f t="shared" si="3"/>
        <v>Positive</v>
      </c>
      <c r="F223" t="s">
        <v>14</v>
      </c>
    </row>
    <row r="224" spans="1:6">
      <c r="A224" t="s">
        <v>244</v>
      </c>
      <c r="B224">
        <v>47</v>
      </c>
      <c r="C224" t="s">
        <v>11</v>
      </c>
      <c r="D224">
        <v>4</v>
      </c>
      <c r="E224" t="str">
        <f t="shared" si="3"/>
        <v>Positive</v>
      </c>
      <c r="F224" t="s">
        <v>9</v>
      </c>
    </row>
    <row r="225" spans="1:6">
      <c r="A225" t="s">
        <v>245</v>
      </c>
      <c r="B225">
        <v>43</v>
      </c>
      <c r="C225" t="s">
        <v>6</v>
      </c>
      <c r="D225">
        <v>2</v>
      </c>
      <c r="E225" t="str">
        <f t="shared" si="3"/>
        <v>Negative</v>
      </c>
      <c r="F225" t="s">
        <v>12</v>
      </c>
    </row>
    <row r="226" spans="1:6">
      <c r="A226" t="s">
        <v>246</v>
      </c>
      <c r="B226">
        <v>65</v>
      </c>
      <c r="C226" t="s">
        <v>11</v>
      </c>
      <c r="D226">
        <v>1</v>
      </c>
      <c r="E226" t="str">
        <f t="shared" si="3"/>
        <v>Negative</v>
      </c>
      <c r="F226" t="s">
        <v>46</v>
      </c>
    </row>
    <row r="227" spans="1:6">
      <c r="A227" t="s">
        <v>247</v>
      </c>
      <c r="B227">
        <v>33</v>
      </c>
      <c r="C227" t="s">
        <v>6</v>
      </c>
      <c r="D227">
        <v>3</v>
      </c>
      <c r="E227" t="str">
        <f t="shared" si="3"/>
        <v>Neutral</v>
      </c>
      <c r="F227" t="s">
        <v>37</v>
      </c>
    </row>
    <row r="228" spans="1:6">
      <c r="A228" t="s">
        <v>248</v>
      </c>
      <c r="B228">
        <v>53</v>
      </c>
      <c r="C228" t="s">
        <v>11</v>
      </c>
      <c r="D228">
        <v>2</v>
      </c>
      <c r="E228" t="str">
        <f t="shared" si="3"/>
        <v>Negative</v>
      </c>
      <c r="F228" t="s">
        <v>29</v>
      </c>
    </row>
    <row r="229" spans="1:6">
      <c r="A229" t="s">
        <v>249</v>
      </c>
      <c r="B229">
        <v>44</v>
      </c>
      <c r="C229" t="s">
        <v>11</v>
      </c>
      <c r="D229">
        <v>5</v>
      </c>
      <c r="E229" t="str">
        <f t="shared" si="3"/>
        <v>Positive</v>
      </c>
      <c r="F229" t="s">
        <v>9</v>
      </c>
    </row>
    <row r="230" spans="1:6">
      <c r="A230" t="s">
        <v>250</v>
      </c>
      <c r="B230">
        <v>54</v>
      </c>
      <c r="C230" t="s">
        <v>11</v>
      </c>
      <c r="D230">
        <v>5</v>
      </c>
      <c r="E230" t="str">
        <f t="shared" si="3"/>
        <v>Positive</v>
      </c>
      <c r="F230" t="s">
        <v>53</v>
      </c>
    </row>
    <row r="231" spans="1:6">
      <c r="A231" t="s">
        <v>251</v>
      </c>
      <c r="B231">
        <v>48</v>
      </c>
      <c r="C231" t="s">
        <v>11</v>
      </c>
      <c r="D231">
        <v>1</v>
      </c>
      <c r="E231" t="str">
        <f t="shared" si="3"/>
        <v>Negative</v>
      </c>
      <c r="F231" t="s">
        <v>27</v>
      </c>
    </row>
    <row r="232" spans="1:6">
      <c r="A232" t="s">
        <v>252</v>
      </c>
      <c r="B232">
        <v>48</v>
      </c>
      <c r="C232" t="s">
        <v>6</v>
      </c>
      <c r="D232">
        <v>3</v>
      </c>
      <c r="E232" t="str">
        <f t="shared" si="3"/>
        <v>Neutral</v>
      </c>
      <c r="F232" t="s">
        <v>37</v>
      </c>
    </row>
    <row r="233" spans="1:6">
      <c r="A233" t="s">
        <v>253</v>
      </c>
      <c r="B233">
        <v>23</v>
      </c>
      <c r="C233" t="s">
        <v>11</v>
      </c>
      <c r="D233">
        <v>2</v>
      </c>
      <c r="E233" t="str">
        <f t="shared" si="3"/>
        <v>Negative</v>
      </c>
      <c r="F233" t="s">
        <v>27</v>
      </c>
    </row>
    <row r="234" spans="1:6">
      <c r="A234" t="s">
        <v>254</v>
      </c>
      <c r="B234">
        <v>48</v>
      </c>
      <c r="C234" t="s">
        <v>11</v>
      </c>
      <c r="D234">
        <v>3</v>
      </c>
      <c r="E234" t="str">
        <f t="shared" si="3"/>
        <v>Neutral</v>
      </c>
      <c r="F234" t="s">
        <v>7</v>
      </c>
    </row>
    <row r="235" spans="1:6">
      <c r="A235" t="s">
        <v>255</v>
      </c>
      <c r="B235">
        <v>26</v>
      </c>
      <c r="C235" t="s">
        <v>11</v>
      </c>
      <c r="D235">
        <v>2</v>
      </c>
      <c r="E235" t="str">
        <f t="shared" si="3"/>
        <v>Negative</v>
      </c>
      <c r="F235" t="s">
        <v>25</v>
      </c>
    </row>
    <row r="236" spans="1:6">
      <c r="A236" t="s">
        <v>256</v>
      </c>
      <c r="B236">
        <v>43</v>
      </c>
      <c r="C236" t="s">
        <v>6</v>
      </c>
      <c r="D236">
        <v>5</v>
      </c>
      <c r="E236" t="str">
        <f t="shared" si="3"/>
        <v>Positive</v>
      </c>
      <c r="F236" t="s">
        <v>53</v>
      </c>
    </row>
    <row r="237" spans="1:6">
      <c r="A237" t="s">
        <v>257</v>
      </c>
      <c r="B237">
        <v>34</v>
      </c>
      <c r="C237" t="s">
        <v>11</v>
      </c>
      <c r="D237">
        <v>4</v>
      </c>
      <c r="E237" t="str">
        <f t="shared" si="3"/>
        <v>Positive</v>
      </c>
      <c r="F237" t="s">
        <v>22</v>
      </c>
    </row>
    <row r="238" spans="1:6">
      <c r="A238" t="s">
        <v>258</v>
      </c>
      <c r="B238">
        <v>34</v>
      </c>
      <c r="C238" t="s">
        <v>6</v>
      </c>
      <c r="D238">
        <v>2</v>
      </c>
      <c r="E238" t="str">
        <f t="shared" si="3"/>
        <v>Negative</v>
      </c>
      <c r="F238" t="s">
        <v>29</v>
      </c>
    </row>
    <row r="239" spans="1:6">
      <c r="A239" t="s">
        <v>259</v>
      </c>
      <c r="B239">
        <v>57</v>
      </c>
      <c r="C239" t="s">
        <v>6</v>
      </c>
      <c r="D239">
        <v>1</v>
      </c>
      <c r="E239" t="str">
        <f t="shared" si="3"/>
        <v>Negative</v>
      </c>
      <c r="F239" t="s">
        <v>27</v>
      </c>
    </row>
    <row r="240" spans="1:6">
      <c r="A240" t="s">
        <v>260</v>
      </c>
      <c r="B240">
        <v>65</v>
      </c>
      <c r="C240" t="s">
        <v>6</v>
      </c>
      <c r="D240">
        <v>3</v>
      </c>
      <c r="E240" t="str">
        <f t="shared" si="3"/>
        <v>Neutral</v>
      </c>
      <c r="F240" t="s">
        <v>7</v>
      </c>
    </row>
    <row r="241" spans="1:6">
      <c r="A241" t="s">
        <v>261</v>
      </c>
      <c r="B241">
        <v>53</v>
      </c>
      <c r="C241" t="s">
        <v>6</v>
      </c>
      <c r="D241">
        <v>4</v>
      </c>
      <c r="E241" t="str">
        <f t="shared" si="3"/>
        <v>Positive</v>
      </c>
      <c r="F241" t="s">
        <v>16</v>
      </c>
    </row>
    <row r="242" spans="1:6">
      <c r="A242" t="s">
        <v>262</v>
      </c>
      <c r="B242">
        <v>38</v>
      </c>
      <c r="C242" t="s">
        <v>11</v>
      </c>
      <c r="D242">
        <v>4</v>
      </c>
      <c r="E242" t="str">
        <f t="shared" si="3"/>
        <v>Positive</v>
      </c>
      <c r="F242" t="s">
        <v>14</v>
      </c>
    </row>
    <row r="243" spans="1:6">
      <c r="A243" t="s">
        <v>263</v>
      </c>
      <c r="B243">
        <v>38</v>
      </c>
      <c r="C243" t="s">
        <v>11</v>
      </c>
      <c r="D243">
        <v>3</v>
      </c>
      <c r="E243" t="str">
        <f t="shared" si="3"/>
        <v>Neutral</v>
      </c>
      <c r="F243" t="s">
        <v>20</v>
      </c>
    </row>
    <row r="244" spans="1:6">
      <c r="A244" t="s">
        <v>264</v>
      </c>
      <c r="B244">
        <v>37</v>
      </c>
      <c r="C244" t="s">
        <v>11</v>
      </c>
      <c r="D244">
        <v>3</v>
      </c>
      <c r="E244" t="str">
        <f t="shared" si="3"/>
        <v>Neutral</v>
      </c>
      <c r="F244" t="s">
        <v>20</v>
      </c>
    </row>
    <row r="245" spans="1:6">
      <c r="A245" t="s">
        <v>265</v>
      </c>
      <c r="B245">
        <v>18</v>
      </c>
      <c r="C245" t="s">
        <v>11</v>
      </c>
      <c r="D245">
        <v>2</v>
      </c>
      <c r="E245" t="str">
        <f t="shared" si="3"/>
        <v>Negative</v>
      </c>
      <c r="F245" t="s">
        <v>25</v>
      </c>
    </row>
    <row r="246" spans="1:6">
      <c r="A246" t="s">
        <v>266</v>
      </c>
      <c r="B246">
        <v>51</v>
      </c>
      <c r="C246" t="s">
        <v>11</v>
      </c>
      <c r="D246">
        <v>3</v>
      </c>
      <c r="E246" t="str">
        <f t="shared" si="3"/>
        <v>Neutral</v>
      </c>
      <c r="F246" t="s">
        <v>37</v>
      </c>
    </row>
    <row r="247" spans="1:6">
      <c r="A247" t="s">
        <v>267</v>
      </c>
      <c r="B247">
        <v>32</v>
      </c>
      <c r="C247" t="s">
        <v>6</v>
      </c>
      <c r="D247">
        <v>5</v>
      </c>
      <c r="E247" t="str">
        <f t="shared" si="3"/>
        <v>Positive</v>
      </c>
      <c r="F247" t="s">
        <v>16</v>
      </c>
    </row>
    <row r="248" spans="1:6">
      <c r="A248" t="s">
        <v>268</v>
      </c>
      <c r="B248">
        <v>26</v>
      </c>
      <c r="C248" t="s">
        <v>11</v>
      </c>
      <c r="D248">
        <v>3</v>
      </c>
      <c r="E248" t="str">
        <f t="shared" si="3"/>
        <v>Neutral</v>
      </c>
      <c r="F248" t="s">
        <v>50</v>
      </c>
    </row>
    <row r="249" spans="1:6">
      <c r="A249" t="s">
        <v>269</v>
      </c>
      <c r="B249">
        <v>30</v>
      </c>
      <c r="C249" t="s">
        <v>11</v>
      </c>
      <c r="D249">
        <v>1</v>
      </c>
      <c r="E249" t="str">
        <f t="shared" si="3"/>
        <v>Negative</v>
      </c>
      <c r="F249" t="s">
        <v>12</v>
      </c>
    </row>
    <row r="250" spans="1:6">
      <c r="A250" t="s">
        <v>270</v>
      </c>
      <c r="B250">
        <v>25</v>
      </c>
      <c r="C250" t="s">
        <v>6</v>
      </c>
      <c r="D250">
        <v>1</v>
      </c>
      <c r="E250" t="str">
        <f t="shared" si="3"/>
        <v>Negative</v>
      </c>
      <c r="F250" t="s">
        <v>27</v>
      </c>
    </row>
    <row r="251" spans="1:6">
      <c r="A251" t="s">
        <v>271</v>
      </c>
      <c r="B251">
        <v>22</v>
      </c>
      <c r="C251" t="s">
        <v>11</v>
      </c>
      <c r="D251">
        <v>2</v>
      </c>
      <c r="E251" t="str">
        <f t="shared" si="3"/>
        <v>Negative</v>
      </c>
      <c r="F251" t="s">
        <v>46</v>
      </c>
    </row>
    <row r="252" spans="1:6">
      <c r="A252" t="s">
        <v>272</v>
      </c>
      <c r="B252">
        <v>59</v>
      </c>
      <c r="C252" t="s">
        <v>6</v>
      </c>
      <c r="D252">
        <v>2</v>
      </c>
      <c r="E252" t="str">
        <f t="shared" si="3"/>
        <v>Negative</v>
      </c>
      <c r="F252" t="s">
        <v>27</v>
      </c>
    </row>
    <row r="253" spans="1:6">
      <c r="A253" t="s">
        <v>273</v>
      </c>
      <c r="B253">
        <v>48</v>
      </c>
      <c r="C253" t="s">
        <v>11</v>
      </c>
      <c r="D253">
        <v>1</v>
      </c>
      <c r="E253" t="str">
        <f t="shared" si="3"/>
        <v>Negative</v>
      </c>
      <c r="F253" t="s">
        <v>29</v>
      </c>
    </row>
    <row r="254" spans="1:6">
      <c r="A254" t="s">
        <v>274</v>
      </c>
      <c r="B254">
        <v>47</v>
      </c>
      <c r="C254" t="s">
        <v>6</v>
      </c>
      <c r="D254">
        <v>4</v>
      </c>
      <c r="E254" t="str">
        <f t="shared" si="3"/>
        <v>Positive</v>
      </c>
      <c r="F254" t="s">
        <v>22</v>
      </c>
    </row>
    <row r="255" spans="1:6">
      <c r="A255" t="s">
        <v>275</v>
      </c>
      <c r="B255">
        <v>21</v>
      </c>
      <c r="C255" t="s">
        <v>6</v>
      </c>
      <c r="D255">
        <v>3</v>
      </c>
      <c r="E255" t="str">
        <f t="shared" si="3"/>
        <v>Neutral</v>
      </c>
      <c r="F255" t="s">
        <v>37</v>
      </c>
    </row>
    <row r="256" spans="1:6">
      <c r="A256" t="s">
        <v>276</v>
      </c>
      <c r="B256">
        <v>26</v>
      </c>
      <c r="C256" t="s">
        <v>6</v>
      </c>
      <c r="D256">
        <v>4</v>
      </c>
      <c r="E256" t="str">
        <f t="shared" si="3"/>
        <v>Positive</v>
      </c>
      <c r="F256" t="s">
        <v>22</v>
      </c>
    </row>
    <row r="257" spans="1:6">
      <c r="A257" t="s">
        <v>277</v>
      </c>
      <c r="B257">
        <v>52</v>
      </c>
      <c r="C257" t="s">
        <v>6</v>
      </c>
      <c r="D257">
        <v>4</v>
      </c>
      <c r="E257" t="str">
        <f t="shared" si="3"/>
        <v>Positive</v>
      </c>
      <c r="F257" t="s">
        <v>16</v>
      </c>
    </row>
    <row r="258" spans="1:6">
      <c r="A258" t="s">
        <v>278</v>
      </c>
      <c r="B258">
        <v>38</v>
      </c>
      <c r="C258" t="s">
        <v>11</v>
      </c>
      <c r="D258">
        <v>2</v>
      </c>
      <c r="E258" t="str">
        <f t="shared" si="3"/>
        <v>Negative</v>
      </c>
      <c r="F258" t="s">
        <v>46</v>
      </c>
    </row>
    <row r="259" spans="1:6">
      <c r="A259" t="s">
        <v>279</v>
      </c>
      <c r="B259">
        <v>37</v>
      </c>
      <c r="C259" t="s">
        <v>6</v>
      </c>
      <c r="D259">
        <v>2</v>
      </c>
      <c r="E259" t="str">
        <f t="shared" ref="E259:E301" si="4">IF(D259&gt;=4,"Positive",IF(D259=3,"Neutral","Negative"))</f>
        <v>Negative</v>
      </c>
      <c r="F259" t="s">
        <v>27</v>
      </c>
    </row>
    <row r="260" spans="1:6">
      <c r="A260" t="s">
        <v>280</v>
      </c>
      <c r="B260">
        <v>26</v>
      </c>
      <c r="C260" t="s">
        <v>6</v>
      </c>
      <c r="D260">
        <v>5</v>
      </c>
      <c r="E260" t="str">
        <f t="shared" si="4"/>
        <v>Positive</v>
      </c>
      <c r="F260" t="s">
        <v>14</v>
      </c>
    </row>
    <row r="261" spans="1:6">
      <c r="A261" t="s">
        <v>281</v>
      </c>
      <c r="B261">
        <v>29</v>
      </c>
      <c r="C261" t="s">
        <v>11</v>
      </c>
      <c r="D261">
        <v>4</v>
      </c>
      <c r="E261" t="str">
        <f t="shared" si="4"/>
        <v>Positive</v>
      </c>
      <c r="F261" t="s">
        <v>14</v>
      </c>
    </row>
    <row r="262" spans="1:6">
      <c r="A262" t="s">
        <v>282</v>
      </c>
      <c r="B262">
        <v>46</v>
      </c>
      <c r="C262" t="s">
        <v>6</v>
      </c>
      <c r="D262">
        <v>4</v>
      </c>
      <c r="E262" t="str">
        <f t="shared" si="4"/>
        <v>Positive</v>
      </c>
      <c r="F262" t="s">
        <v>22</v>
      </c>
    </row>
    <row r="263" spans="1:6">
      <c r="A263" t="s">
        <v>283</v>
      </c>
      <c r="B263">
        <v>27</v>
      </c>
      <c r="C263" t="s">
        <v>11</v>
      </c>
      <c r="D263">
        <v>5</v>
      </c>
      <c r="E263" t="str">
        <f t="shared" si="4"/>
        <v>Positive</v>
      </c>
      <c r="F263" t="s">
        <v>53</v>
      </c>
    </row>
    <row r="264" spans="1:6">
      <c r="A264" t="s">
        <v>284</v>
      </c>
      <c r="B264">
        <v>49</v>
      </c>
      <c r="C264" t="s">
        <v>11</v>
      </c>
      <c r="D264">
        <v>1</v>
      </c>
      <c r="E264" t="str">
        <f t="shared" si="4"/>
        <v>Negative</v>
      </c>
      <c r="F264" t="s">
        <v>29</v>
      </c>
    </row>
    <row r="265" spans="1:6">
      <c r="A265" t="s">
        <v>285</v>
      </c>
      <c r="B265">
        <v>63</v>
      </c>
      <c r="C265" t="s">
        <v>6</v>
      </c>
      <c r="D265">
        <v>4</v>
      </c>
      <c r="E265" t="str">
        <f t="shared" si="4"/>
        <v>Positive</v>
      </c>
      <c r="F265" t="s">
        <v>22</v>
      </c>
    </row>
    <row r="266" spans="1:6">
      <c r="A266" t="s">
        <v>286</v>
      </c>
      <c r="B266">
        <v>36</v>
      </c>
      <c r="C266" t="s">
        <v>6</v>
      </c>
      <c r="D266">
        <v>4</v>
      </c>
      <c r="E266" t="str">
        <f t="shared" si="4"/>
        <v>Positive</v>
      </c>
      <c r="F266" t="s">
        <v>16</v>
      </c>
    </row>
    <row r="267" spans="1:6">
      <c r="A267" t="s">
        <v>287</v>
      </c>
      <c r="B267">
        <v>38</v>
      </c>
      <c r="C267" t="s">
        <v>6</v>
      </c>
      <c r="D267">
        <v>5</v>
      </c>
      <c r="E267" t="str">
        <f t="shared" si="4"/>
        <v>Positive</v>
      </c>
      <c r="F267" t="s">
        <v>9</v>
      </c>
    </row>
    <row r="268" spans="1:6">
      <c r="A268" t="s">
        <v>288</v>
      </c>
      <c r="B268">
        <v>39</v>
      </c>
      <c r="C268" t="s">
        <v>6</v>
      </c>
      <c r="D268">
        <v>3</v>
      </c>
      <c r="E268" t="str">
        <f t="shared" si="4"/>
        <v>Neutral</v>
      </c>
      <c r="F268" t="s">
        <v>20</v>
      </c>
    </row>
    <row r="269" spans="1:6">
      <c r="A269" t="s">
        <v>289</v>
      </c>
      <c r="B269">
        <v>23</v>
      </c>
      <c r="C269" t="s">
        <v>6</v>
      </c>
      <c r="D269">
        <v>2</v>
      </c>
      <c r="E269" t="str">
        <f t="shared" si="4"/>
        <v>Negative</v>
      </c>
      <c r="F269" t="s">
        <v>12</v>
      </c>
    </row>
    <row r="270" spans="1:6">
      <c r="A270" t="s">
        <v>290</v>
      </c>
      <c r="B270">
        <v>36</v>
      </c>
      <c r="C270" t="s">
        <v>6</v>
      </c>
      <c r="D270">
        <v>5</v>
      </c>
      <c r="E270" t="str">
        <f t="shared" si="4"/>
        <v>Positive</v>
      </c>
      <c r="F270" t="s">
        <v>22</v>
      </c>
    </row>
    <row r="271" spans="1:6">
      <c r="A271" t="s">
        <v>291</v>
      </c>
      <c r="B271">
        <v>53</v>
      </c>
      <c r="C271" t="s">
        <v>11</v>
      </c>
      <c r="D271">
        <v>5</v>
      </c>
      <c r="E271" t="str">
        <f t="shared" si="4"/>
        <v>Positive</v>
      </c>
      <c r="F271" t="s">
        <v>16</v>
      </c>
    </row>
    <row r="272" spans="1:6">
      <c r="A272" t="s">
        <v>292</v>
      </c>
      <c r="B272">
        <v>43</v>
      </c>
      <c r="C272" t="s">
        <v>6</v>
      </c>
      <c r="D272">
        <v>1</v>
      </c>
      <c r="E272" t="str">
        <f t="shared" si="4"/>
        <v>Negative</v>
      </c>
      <c r="F272" t="s">
        <v>29</v>
      </c>
    </row>
    <row r="273" spans="1:6">
      <c r="A273" t="s">
        <v>293</v>
      </c>
      <c r="B273">
        <v>60</v>
      </c>
      <c r="C273" t="s">
        <v>11</v>
      </c>
      <c r="D273">
        <v>4</v>
      </c>
      <c r="E273" t="str">
        <f t="shared" si="4"/>
        <v>Positive</v>
      </c>
      <c r="F273" t="s">
        <v>22</v>
      </c>
    </row>
    <row r="274" spans="1:6">
      <c r="A274" t="s">
        <v>294</v>
      </c>
      <c r="B274">
        <v>33</v>
      </c>
      <c r="C274" t="s">
        <v>6</v>
      </c>
      <c r="D274">
        <v>1</v>
      </c>
      <c r="E274" t="str">
        <f t="shared" si="4"/>
        <v>Negative</v>
      </c>
      <c r="F274" t="s">
        <v>25</v>
      </c>
    </row>
    <row r="275" spans="1:6">
      <c r="A275" t="s">
        <v>295</v>
      </c>
      <c r="B275">
        <v>57</v>
      </c>
      <c r="C275" t="s">
        <v>11</v>
      </c>
      <c r="D275">
        <v>2</v>
      </c>
      <c r="E275" t="str">
        <f t="shared" si="4"/>
        <v>Negative</v>
      </c>
      <c r="F275" t="s">
        <v>27</v>
      </c>
    </row>
    <row r="276" spans="1:6">
      <c r="A276" t="s">
        <v>296</v>
      </c>
      <c r="B276">
        <v>27</v>
      </c>
      <c r="C276" t="s">
        <v>11</v>
      </c>
      <c r="D276">
        <v>3</v>
      </c>
      <c r="E276" t="str">
        <f t="shared" si="4"/>
        <v>Neutral</v>
      </c>
      <c r="F276" t="s">
        <v>37</v>
      </c>
    </row>
    <row r="277" spans="1:6">
      <c r="A277" t="s">
        <v>297</v>
      </c>
      <c r="B277">
        <v>60</v>
      </c>
      <c r="C277" t="s">
        <v>6</v>
      </c>
      <c r="D277">
        <v>4</v>
      </c>
      <c r="E277" t="str">
        <f t="shared" si="4"/>
        <v>Positive</v>
      </c>
      <c r="F277" t="s">
        <v>22</v>
      </c>
    </row>
    <row r="278" spans="1:6">
      <c r="A278" t="s">
        <v>298</v>
      </c>
      <c r="B278">
        <v>50</v>
      </c>
      <c r="C278" t="s">
        <v>6</v>
      </c>
      <c r="D278">
        <v>1</v>
      </c>
      <c r="E278" t="str">
        <f t="shared" si="4"/>
        <v>Negative</v>
      </c>
      <c r="F278" t="s">
        <v>27</v>
      </c>
    </row>
    <row r="279" spans="1:6">
      <c r="A279" t="s">
        <v>299</v>
      </c>
      <c r="B279">
        <v>51</v>
      </c>
      <c r="C279" t="s">
        <v>6</v>
      </c>
      <c r="D279">
        <v>1</v>
      </c>
      <c r="E279" t="str">
        <f t="shared" si="4"/>
        <v>Negative</v>
      </c>
      <c r="F279" t="s">
        <v>27</v>
      </c>
    </row>
    <row r="280" spans="1:6">
      <c r="A280" t="s">
        <v>300</v>
      </c>
      <c r="B280">
        <v>25</v>
      </c>
      <c r="C280" t="s">
        <v>11</v>
      </c>
      <c r="D280">
        <v>5</v>
      </c>
      <c r="E280" t="str">
        <f t="shared" si="4"/>
        <v>Positive</v>
      </c>
      <c r="F280" t="s">
        <v>14</v>
      </c>
    </row>
    <row r="281" spans="1:6">
      <c r="A281" t="s">
        <v>301</v>
      </c>
      <c r="B281">
        <v>35</v>
      </c>
      <c r="C281" t="s">
        <v>6</v>
      </c>
      <c r="D281">
        <v>5</v>
      </c>
      <c r="E281" t="str">
        <f t="shared" si="4"/>
        <v>Positive</v>
      </c>
      <c r="F281" t="s">
        <v>14</v>
      </c>
    </row>
    <row r="282" spans="1:6">
      <c r="A282" t="s">
        <v>302</v>
      </c>
      <c r="B282">
        <v>48</v>
      </c>
      <c r="C282" t="s">
        <v>6</v>
      </c>
      <c r="D282">
        <v>4</v>
      </c>
      <c r="E282" t="str">
        <f t="shared" si="4"/>
        <v>Positive</v>
      </c>
      <c r="F282" t="s">
        <v>14</v>
      </c>
    </row>
    <row r="283" spans="1:6">
      <c r="A283" t="s">
        <v>303</v>
      </c>
      <c r="B283">
        <v>56</v>
      </c>
      <c r="C283" t="s">
        <v>6</v>
      </c>
      <c r="D283">
        <v>5</v>
      </c>
      <c r="E283" t="str">
        <f t="shared" si="4"/>
        <v>Positive</v>
      </c>
      <c r="F283" t="s">
        <v>22</v>
      </c>
    </row>
    <row r="284" spans="1:6">
      <c r="A284" t="s">
        <v>304</v>
      </c>
      <c r="B284">
        <v>62</v>
      </c>
      <c r="C284" t="s">
        <v>6</v>
      </c>
      <c r="D284">
        <v>5</v>
      </c>
      <c r="E284" t="str">
        <f t="shared" si="4"/>
        <v>Positive</v>
      </c>
      <c r="F284" t="s">
        <v>22</v>
      </c>
    </row>
    <row r="285" spans="1:6">
      <c r="A285" t="s">
        <v>305</v>
      </c>
      <c r="B285">
        <v>48</v>
      </c>
      <c r="C285" t="s">
        <v>6</v>
      </c>
      <c r="D285">
        <v>5</v>
      </c>
      <c r="E285" t="str">
        <f t="shared" si="4"/>
        <v>Positive</v>
      </c>
      <c r="F285" t="s">
        <v>22</v>
      </c>
    </row>
    <row r="286" spans="1:6">
      <c r="A286" t="s">
        <v>306</v>
      </c>
      <c r="B286">
        <v>65</v>
      </c>
      <c r="C286" t="s">
        <v>11</v>
      </c>
      <c r="D286">
        <v>2</v>
      </c>
      <c r="E286" t="str">
        <f t="shared" si="4"/>
        <v>Negative</v>
      </c>
      <c r="F286" t="s">
        <v>12</v>
      </c>
    </row>
    <row r="287" spans="1:6">
      <c r="A287" t="s">
        <v>307</v>
      </c>
      <c r="B287">
        <v>46</v>
      </c>
      <c r="C287" t="s">
        <v>6</v>
      </c>
      <c r="D287">
        <v>1</v>
      </c>
      <c r="E287" t="str">
        <f t="shared" si="4"/>
        <v>Negative</v>
      </c>
      <c r="F287" t="s">
        <v>29</v>
      </c>
    </row>
    <row r="288" spans="1:6">
      <c r="A288" t="s">
        <v>308</v>
      </c>
      <c r="B288">
        <v>58</v>
      </c>
      <c r="C288" t="s">
        <v>6</v>
      </c>
      <c r="D288">
        <v>4</v>
      </c>
      <c r="E288" t="str">
        <f t="shared" si="4"/>
        <v>Positive</v>
      </c>
      <c r="F288" t="s">
        <v>22</v>
      </c>
    </row>
    <row r="289" spans="1:6">
      <c r="A289" t="s">
        <v>309</v>
      </c>
      <c r="B289">
        <v>62</v>
      </c>
      <c r="C289" t="s">
        <v>6</v>
      </c>
      <c r="D289">
        <v>5</v>
      </c>
      <c r="E289" t="str">
        <f t="shared" si="4"/>
        <v>Positive</v>
      </c>
      <c r="F289" t="s">
        <v>53</v>
      </c>
    </row>
    <row r="290" spans="1:6">
      <c r="A290" t="s">
        <v>310</v>
      </c>
      <c r="B290">
        <v>49</v>
      </c>
      <c r="C290" t="s">
        <v>11</v>
      </c>
      <c r="D290">
        <v>4</v>
      </c>
      <c r="E290" t="str">
        <f t="shared" si="4"/>
        <v>Positive</v>
      </c>
      <c r="F290" t="s">
        <v>14</v>
      </c>
    </row>
    <row r="291" spans="1:6">
      <c r="A291" t="s">
        <v>311</v>
      </c>
      <c r="B291">
        <v>35</v>
      </c>
      <c r="C291" t="s">
        <v>6</v>
      </c>
      <c r="D291">
        <v>5</v>
      </c>
      <c r="E291" t="str">
        <f t="shared" si="4"/>
        <v>Positive</v>
      </c>
      <c r="F291" t="s">
        <v>9</v>
      </c>
    </row>
    <row r="292" spans="1:6">
      <c r="A292" t="s">
        <v>312</v>
      </c>
      <c r="B292">
        <v>54</v>
      </c>
      <c r="C292" t="s">
        <v>6</v>
      </c>
      <c r="D292">
        <v>3</v>
      </c>
      <c r="E292" t="str">
        <f t="shared" si="4"/>
        <v>Neutral</v>
      </c>
      <c r="F292" t="s">
        <v>7</v>
      </c>
    </row>
    <row r="293" spans="1:6">
      <c r="A293" t="s">
        <v>313</v>
      </c>
      <c r="B293">
        <v>26</v>
      </c>
      <c r="C293" t="s">
        <v>11</v>
      </c>
      <c r="D293">
        <v>2</v>
      </c>
      <c r="E293" t="str">
        <f t="shared" si="4"/>
        <v>Negative</v>
      </c>
      <c r="F293" t="s">
        <v>29</v>
      </c>
    </row>
    <row r="294" spans="1:6">
      <c r="A294" t="s">
        <v>314</v>
      </c>
      <c r="B294">
        <v>19</v>
      </c>
      <c r="C294" t="s">
        <v>6</v>
      </c>
      <c r="D294">
        <v>5</v>
      </c>
      <c r="E294" t="str">
        <f t="shared" si="4"/>
        <v>Positive</v>
      </c>
      <c r="F294" t="s">
        <v>16</v>
      </c>
    </row>
    <row r="295" spans="1:6">
      <c r="A295" t="s">
        <v>315</v>
      </c>
      <c r="B295">
        <v>19</v>
      </c>
      <c r="C295" t="s">
        <v>11</v>
      </c>
      <c r="D295">
        <v>2</v>
      </c>
      <c r="E295" t="str">
        <f t="shared" si="4"/>
        <v>Negative</v>
      </c>
      <c r="F295" t="s">
        <v>25</v>
      </c>
    </row>
    <row r="296" spans="1:6">
      <c r="A296" t="s">
        <v>316</v>
      </c>
      <c r="B296">
        <v>37</v>
      </c>
      <c r="C296" t="s">
        <v>11</v>
      </c>
      <c r="D296">
        <v>2</v>
      </c>
      <c r="E296" t="str">
        <f t="shared" si="4"/>
        <v>Negative</v>
      </c>
      <c r="F296" t="s">
        <v>25</v>
      </c>
    </row>
    <row r="297" spans="1:6">
      <c r="A297" t="s">
        <v>317</v>
      </c>
      <c r="B297">
        <v>26</v>
      </c>
      <c r="C297" t="s">
        <v>11</v>
      </c>
      <c r="D297">
        <v>5</v>
      </c>
      <c r="E297" t="str">
        <f t="shared" si="4"/>
        <v>Positive</v>
      </c>
      <c r="F297" t="s">
        <v>14</v>
      </c>
    </row>
    <row r="298" spans="1:6">
      <c r="A298" t="s">
        <v>318</v>
      </c>
      <c r="B298">
        <v>24</v>
      </c>
      <c r="C298" t="s">
        <v>11</v>
      </c>
      <c r="D298">
        <v>3</v>
      </c>
      <c r="E298" t="str">
        <f t="shared" si="4"/>
        <v>Neutral</v>
      </c>
      <c r="F298" t="s">
        <v>59</v>
      </c>
    </row>
    <row r="299" spans="1:6">
      <c r="A299" t="s">
        <v>319</v>
      </c>
      <c r="B299">
        <v>30</v>
      </c>
      <c r="C299" t="s">
        <v>11</v>
      </c>
      <c r="D299">
        <v>4</v>
      </c>
      <c r="E299" t="str">
        <f t="shared" si="4"/>
        <v>Positive</v>
      </c>
      <c r="F299" t="s">
        <v>16</v>
      </c>
    </row>
    <row r="300" spans="1:6">
      <c r="A300" t="s">
        <v>320</v>
      </c>
      <c r="B300">
        <v>43</v>
      </c>
      <c r="C300" t="s">
        <v>6</v>
      </c>
      <c r="D300">
        <v>5</v>
      </c>
      <c r="E300" t="str">
        <f t="shared" si="4"/>
        <v>Positive</v>
      </c>
      <c r="F300" t="s">
        <v>9</v>
      </c>
    </row>
    <row r="301" spans="1:6">
      <c r="A301" t="s">
        <v>321</v>
      </c>
      <c r="B301">
        <v>33</v>
      </c>
      <c r="C301" t="s">
        <v>6</v>
      </c>
      <c r="D301">
        <v>3</v>
      </c>
      <c r="E301" t="str">
        <f t="shared" si="4"/>
        <v>Neutral</v>
      </c>
      <c r="F30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1"/>
  <sheetViews>
    <sheetView tabSelected="1" workbookViewId="0">
      <selection activeCell="P6" sqref="P6"/>
    </sheetView>
  </sheetViews>
  <sheetFormatPr defaultRowHeight="15"/>
  <cols>
    <col min="6" max="6" width="33.42578125" bestFit="1" customWidth="1"/>
    <col min="8" max="8" width="13.140625" bestFit="1" customWidth="1"/>
    <col min="9" max="9" width="20.5703125" bestFit="1" customWidth="1"/>
    <col min="12" max="12" width="13.140625" bestFit="1" customWidth="1"/>
    <col min="13" max="13" width="13.28515625" bestFit="1" customWidth="1"/>
  </cols>
  <sheetData>
    <row r="1" spans="1:13" ht="15.7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322</v>
      </c>
      <c r="F1" s="9" t="s">
        <v>4</v>
      </c>
    </row>
    <row r="2" spans="1:13">
      <c r="A2" s="1" t="s">
        <v>5</v>
      </c>
      <c r="B2" s="2">
        <v>59</v>
      </c>
      <c r="C2" s="2" t="s">
        <v>6</v>
      </c>
      <c r="D2" s="2">
        <v>3</v>
      </c>
      <c r="E2" s="2" t="str">
        <f>IF(D2&gt;=4,"Positive",IF(D2=3,"Neutral","Negative"))</f>
        <v>Neutral</v>
      </c>
      <c r="F2" s="3" t="s">
        <v>7</v>
      </c>
    </row>
    <row r="3" spans="1:13">
      <c r="A3" s="1" t="s">
        <v>8</v>
      </c>
      <c r="B3" s="2">
        <v>65</v>
      </c>
      <c r="C3" s="2" t="s">
        <v>6</v>
      </c>
      <c r="D3" s="2">
        <v>5</v>
      </c>
      <c r="E3" s="2" t="str">
        <f t="shared" ref="E3:E66" si="0">IF(D3&gt;=4,"Positive",IF(D3=3,"Neutral","Negative"))</f>
        <v>Positive</v>
      </c>
      <c r="F3" s="3" t="s">
        <v>9</v>
      </c>
    </row>
    <row r="4" spans="1:13">
      <c r="A4" s="1" t="s">
        <v>10</v>
      </c>
      <c r="B4" s="2">
        <v>41</v>
      </c>
      <c r="C4" s="2" t="s">
        <v>11</v>
      </c>
      <c r="D4" s="2">
        <v>2</v>
      </c>
      <c r="E4" s="2" t="str">
        <f t="shared" si="0"/>
        <v>Negative</v>
      </c>
      <c r="F4" s="3" t="s">
        <v>12</v>
      </c>
    </row>
    <row r="5" spans="1:13">
      <c r="A5" s="1" t="s">
        <v>13</v>
      </c>
      <c r="B5" s="2">
        <v>30</v>
      </c>
      <c r="C5" s="2" t="s">
        <v>11</v>
      </c>
      <c r="D5" s="2">
        <v>4</v>
      </c>
      <c r="E5" s="2" t="str">
        <f t="shared" si="0"/>
        <v>Positive</v>
      </c>
      <c r="F5" s="3" t="s">
        <v>14</v>
      </c>
    </row>
    <row r="6" spans="1:13">
      <c r="A6" s="1" t="s">
        <v>15</v>
      </c>
      <c r="B6" s="2">
        <v>42</v>
      </c>
      <c r="C6" s="2" t="s">
        <v>11</v>
      </c>
      <c r="D6" s="2">
        <v>5</v>
      </c>
      <c r="E6" s="2" t="str">
        <f t="shared" si="0"/>
        <v>Positive</v>
      </c>
      <c r="F6" s="3" t="s">
        <v>16</v>
      </c>
      <c r="H6" s="10" t="s">
        <v>329</v>
      </c>
      <c r="I6" t="s">
        <v>334</v>
      </c>
      <c r="L6" s="10" t="s">
        <v>329</v>
      </c>
      <c r="M6" t="s">
        <v>335</v>
      </c>
    </row>
    <row r="7" spans="1:13">
      <c r="A7" s="1" t="s">
        <v>17</v>
      </c>
      <c r="B7" s="2">
        <v>57</v>
      </c>
      <c r="C7" s="2" t="s">
        <v>6</v>
      </c>
      <c r="D7" s="2">
        <v>5</v>
      </c>
      <c r="E7" s="2" t="str">
        <f t="shared" si="0"/>
        <v>Positive</v>
      </c>
      <c r="F7" s="3" t="s">
        <v>16</v>
      </c>
      <c r="H7" s="11" t="s">
        <v>330</v>
      </c>
      <c r="I7" s="12">
        <v>121</v>
      </c>
      <c r="L7" s="11" t="s">
        <v>6</v>
      </c>
      <c r="M7" s="12">
        <v>468</v>
      </c>
    </row>
    <row r="8" spans="1:13">
      <c r="A8" s="1" t="s">
        <v>18</v>
      </c>
      <c r="B8" s="2">
        <v>57</v>
      </c>
      <c r="C8" s="2" t="s">
        <v>6</v>
      </c>
      <c r="D8" s="2">
        <v>1</v>
      </c>
      <c r="E8" s="2" t="str">
        <f t="shared" si="0"/>
        <v>Negative</v>
      </c>
      <c r="F8" s="3" t="s">
        <v>12</v>
      </c>
      <c r="H8" s="11" t="s">
        <v>331</v>
      </c>
      <c r="I8" s="12">
        <v>54</v>
      </c>
      <c r="L8" s="11" t="s">
        <v>11</v>
      </c>
      <c r="M8" s="12">
        <v>448</v>
      </c>
    </row>
    <row r="9" spans="1:13">
      <c r="A9" s="1" t="s">
        <v>19</v>
      </c>
      <c r="B9" s="2">
        <v>41</v>
      </c>
      <c r="C9" s="2" t="s">
        <v>6</v>
      </c>
      <c r="D9" s="2">
        <v>3</v>
      </c>
      <c r="E9" s="2" t="str">
        <f t="shared" si="0"/>
        <v>Neutral</v>
      </c>
      <c r="F9" s="3" t="s">
        <v>20</v>
      </c>
      <c r="H9" s="11" t="s">
        <v>332</v>
      </c>
      <c r="I9" s="12">
        <v>125</v>
      </c>
      <c r="L9" s="11" t="s">
        <v>333</v>
      </c>
      <c r="M9" s="12">
        <v>916</v>
      </c>
    </row>
    <row r="10" spans="1:13">
      <c r="A10" s="1" t="s">
        <v>21</v>
      </c>
      <c r="B10" s="2">
        <v>58</v>
      </c>
      <c r="C10" s="2" t="s">
        <v>11</v>
      </c>
      <c r="D10" s="2">
        <v>4</v>
      </c>
      <c r="E10" s="2" t="str">
        <f t="shared" si="0"/>
        <v>Positive</v>
      </c>
      <c r="F10" s="3" t="s">
        <v>22</v>
      </c>
      <c r="H10" s="11" t="s">
        <v>333</v>
      </c>
      <c r="I10" s="12">
        <v>300</v>
      </c>
    </row>
    <row r="11" spans="1:13">
      <c r="A11" s="1" t="s">
        <v>23</v>
      </c>
      <c r="B11" s="2">
        <v>21</v>
      </c>
      <c r="C11" s="2" t="s">
        <v>11</v>
      </c>
      <c r="D11" s="2">
        <v>5</v>
      </c>
      <c r="E11" s="2" t="str">
        <f t="shared" si="0"/>
        <v>Positive</v>
      </c>
      <c r="F11" s="3" t="s">
        <v>22</v>
      </c>
    </row>
    <row r="12" spans="1:13">
      <c r="A12" s="1" t="s">
        <v>24</v>
      </c>
      <c r="B12" s="2">
        <v>27</v>
      </c>
      <c r="C12" s="2" t="s">
        <v>6</v>
      </c>
      <c r="D12" s="2">
        <v>2</v>
      </c>
      <c r="E12" s="2" t="str">
        <f t="shared" si="0"/>
        <v>Negative</v>
      </c>
      <c r="F12" s="3" t="s">
        <v>25</v>
      </c>
    </row>
    <row r="13" spans="1:13">
      <c r="A13" s="1" t="s">
        <v>26</v>
      </c>
      <c r="B13" s="2">
        <v>33</v>
      </c>
      <c r="C13" s="2" t="s">
        <v>11</v>
      </c>
      <c r="D13" s="2">
        <v>2</v>
      </c>
      <c r="E13" s="2" t="str">
        <f t="shared" si="0"/>
        <v>Negative</v>
      </c>
      <c r="F13" s="3" t="s">
        <v>27</v>
      </c>
    </row>
    <row r="14" spans="1:13">
      <c r="A14" s="1" t="s">
        <v>28</v>
      </c>
      <c r="B14" s="2">
        <v>62</v>
      </c>
      <c r="C14" s="2" t="s">
        <v>6</v>
      </c>
      <c r="D14" s="2">
        <v>2</v>
      </c>
      <c r="E14" s="2" t="str">
        <f t="shared" si="0"/>
        <v>Negative</v>
      </c>
      <c r="F14" s="3" t="s">
        <v>29</v>
      </c>
    </row>
    <row r="15" spans="1:13">
      <c r="A15" s="1" t="s">
        <v>30</v>
      </c>
      <c r="B15" s="2">
        <v>42</v>
      </c>
      <c r="C15" s="2" t="s">
        <v>6</v>
      </c>
      <c r="D15" s="2">
        <v>4</v>
      </c>
      <c r="E15" s="2" t="str">
        <f t="shared" si="0"/>
        <v>Positive</v>
      </c>
      <c r="F15" s="3" t="s">
        <v>9</v>
      </c>
    </row>
    <row r="16" spans="1:13">
      <c r="A16" s="1" t="s">
        <v>31</v>
      </c>
      <c r="B16" s="2">
        <v>46</v>
      </c>
      <c r="C16" s="2" t="s">
        <v>6</v>
      </c>
      <c r="D16" s="2">
        <v>2</v>
      </c>
      <c r="E16" s="2" t="str">
        <f t="shared" si="0"/>
        <v>Negative</v>
      </c>
      <c r="F16" s="3" t="s">
        <v>27</v>
      </c>
    </row>
    <row r="17" spans="1:6">
      <c r="A17" s="1" t="s">
        <v>32</v>
      </c>
      <c r="B17" s="2">
        <v>54</v>
      </c>
      <c r="C17" s="2" t="s">
        <v>6</v>
      </c>
      <c r="D17" s="2">
        <v>2</v>
      </c>
      <c r="E17" s="2" t="str">
        <f t="shared" si="0"/>
        <v>Negative</v>
      </c>
      <c r="F17" s="3" t="s">
        <v>25</v>
      </c>
    </row>
    <row r="18" spans="1:6">
      <c r="A18" s="1" t="s">
        <v>33</v>
      </c>
      <c r="B18" s="2">
        <v>25</v>
      </c>
      <c r="C18" s="2" t="s">
        <v>11</v>
      </c>
      <c r="D18" s="2">
        <v>5</v>
      </c>
      <c r="E18" s="2" t="str">
        <f t="shared" si="0"/>
        <v>Positive</v>
      </c>
      <c r="F18" s="3" t="s">
        <v>22</v>
      </c>
    </row>
    <row r="19" spans="1:6">
      <c r="A19" s="1" t="s">
        <v>34</v>
      </c>
      <c r="B19" s="2">
        <v>33</v>
      </c>
      <c r="C19" s="2" t="s">
        <v>11</v>
      </c>
      <c r="D19" s="2">
        <v>2</v>
      </c>
      <c r="E19" s="2" t="str">
        <f t="shared" si="0"/>
        <v>Negative</v>
      </c>
      <c r="F19" s="3" t="s">
        <v>29</v>
      </c>
    </row>
    <row r="20" spans="1:6">
      <c r="A20" s="1" t="s">
        <v>35</v>
      </c>
      <c r="B20" s="2">
        <v>51</v>
      </c>
      <c r="C20" s="2" t="s">
        <v>11</v>
      </c>
      <c r="D20" s="2">
        <v>5</v>
      </c>
      <c r="E20" s="2" t="str">
        <f t="shared" si="0"/>
        <v>Positive</v>
      </c>
      <c r="F20" s="3" t="s">
        <v>16</v>
      </c>
    </row>
    <row r="21" spans="1:6">
      <c r="A21" s="1" t="s">
        <v>36</v>
      </c>
      <c r="B21" s="2">
        <v>42</v>
      </c>
      <c r="C21" s="2" t="s">
        <v>6</v>
      </c>
      <c r="D21" s="2">
        <v>3</v>
      </c>
      <c r="E21" s="2" t="str">
        <f t="shared" si="0"/>
        <v>Neutral</v>
      </c>
      <c r="F21" s="3" t="s">
        <v>37</v>
      </c>
    </row>
    <row r="22" spans="1:6">
      <c r="A22" s="1" t="s">
        <v>38</v>
      </c>
      <c r="B22" s="2">
        <v>56</v>
      </c>
      <c r="C22" s="2" t="s">
        <v>6</v>
      </c>
      <c r="D22" s="2">
        <v>1</v>
      </c>
      <c r="E22" s="2" t="str">
        <f t="shared" si="0"/>
        <v>Negative</v>
      </c>
      <c r="F22" s="3" t="s">
        <v>12</v>
      </c>
    </row>
    <row r="23" spans="1:6">
      <c r="A23" s="1" t="s">
        <v>39</v>
      </c>
      <c r="B23" s="2">
        <v>31</v>
      </c>
      <c r="C23" s="2" t="s">
        <v>11</v>
      </c>
      <c r="D23" s="2">
        <v>2</v>
      </c>
      <c r="E23" s="2" t="str">
        <f t="shared" si="0"/>
        <v>Negative</v>
      </c>
      <c r="F23" s="3" t="s">
        <v>12</v>
      </c>
    </row>
    <row r="24" spans="1:6">
      <c r="A24" s="1" t="s">
        <v>40</v>
      </c>
      <c r="B24" s="2">
        <v>30</v>
      </c>
      <c r="C24" s="2" t="s">
        <v>11</v>
      </c>
      <c r="D24" s="2">
        <v>2</v>
      </c>
      <c r="E24" s="2" t="str">
        <f t="shared" si="0"/>
        <v>Negative</v>
      </c>
      <c r="F24" s="3" t="s">
        <v>25</v>
      </c>
    </row>
    <row r="25" spans="1:6">
      <c r="A25" s="1" t="s">
        <v>41</v>
      </c>
      <c r="B25" s="2">
        <v>42</v>
      </c>
      <c r="C25" s="2" t="s">
        <v>6</v>
      </c>
      <c r="D25" s="2">
        <v>3</v>
      </c>
      <c r="E25" s="2" t="str">
        <f t="shared" si="0"/>
        <v>Neutral</v>
      </c>
      <c r="F25" s="3" t="s">
        <v>7</v>
      </c>
    </row>
    <row r="26" spans="1:6">
      <c r="A26" s="1" t="s">
        <v>42</v>
      </c>
      <c r="B26" s="2">
        <v>32</v>
      </c>
      <c r="C26" s="2" t="s">
        <v>6</v>
      </c>
      <c r="D26" s="2">
        <v>1</v>
      </c>
      <c r="E26" s="2" t="str">
        <f t="shared" si="0"/>
        <v>Negative</v>
      </c>
      <c r="F26" s="3" t="s">
        <v>25</v>
      </c>
    </row>
    <row r="27" spans="1:6">
      <c r="A27" s="1" t="s">
        <v>43</v>
      </c>
      <c r="B27" s="2">
        <v>48</v>
      </c>
      <c r="C27" s="2" t="s">
        <v>6</v>
      </c>
      <c r="D27" s="2">
        <v>5</v>
      </c>
      <c r="E27" s="2" t="str">
        <f t="shared" si="0"/>
        <v>Positive</v>
      </c>
      <c r="F27" s="3" t="s">
        <v>16</v>
      </c>
    </row>
    <row r="28" spans="1:6">
      <c r="A28" s="1" t="s">
        <v>44</v>
      </c>
      <c r="B28" s="2">
        <v>41</v>
      </c>
      <c r="C28" s="2" t="s">
        <v>6</v>
      </c>
      <c r="D28" s="2">
        <v>4</v>
      </c>
      <c r="E28" s="2" t="str">
        <f t="shared" si="0"/>
        <v>Positive</v>
      </c>
      <c r="F28" s="3" t="s">
        <v>22</v>
      </c>
    </row>
    <row r="29" spans="1:6">
      <c r="A29" s="1" t="s">
        <v>45</v>
      </c>
      <c r="B29" s="2">
        <v>54</v>
      </c>
      <c r="C29" s="2" t="s">
        <v>6</v>
      </c>
      <c r="D29" s="2">
        <v>1</v>
      </c>
      <c r="E29" s="2" t="str">
        <f t="shared" si="0"/>
        <v>Negative</v>
      </c>
      <c r="F29" s="3" t="s">
        <v>46</v>
      </c>
    </row>
    <row r="30" spans="1:6">
      <c r="A30" s="1" t="s">
        <v>47</v>
      </c>
      <c r="B30" s="2">
        <v>42</v>
      </c>
      <c r="C30" s="2" t="s">
        <v>11</v>
      </c>
      <c r="D30" s="2">
        <v>1</v>
      </c>
      <c r="E30" s="2" t="str">
        <f t="shared" si="0"/>
        <v>Negative</v>
      </c>
      <c r="F30" s="3" t="s">
        <v>12</v>
      </c>
    </row>
    <row r="31" spans="1:6">
      <c r="A31" s="1" t="s">
        <v>48</v>
      </c>
      <c r="B31" s="2">
        <v>31</v>
      </c>
      <c r="C31" s="2" t="s">
        <v>6</v>
      </c>
      <c r="D31" s="2">
        <v>5</v>
      </c>
      <c r="E31" s="2" t="str">
        <f t="shared" si="0"/>
        <v>Positive</v>
      </c>
      <c r="F31" s="3" t="s">
        <v>16</v>
      </c>
    </row>
    <row r="32" spans="1:6">
      <c r="A32" s="1" t="s">
        <v>49</v>
      </c>
      <c r="B32" s="2">
        <v>34</v>
      </c>
      <c r="C32" s="2" t="s">
        <v>6</v>
      </c>
      <c r="D32" s="2">
        <v>3</v>
      </c>
      <c r="E32" s="2" t="str">
        <f t="shared" si="0"/>
        <v>Neutral</v>
      </c>
      <c r="F32" s="3" t="s">
        <v>50</v>
      </c>
    </row>
    <row r="33" spans="1:6">
      <c r="A33" s="1" t="s">
        <v>51</v>
      </c>
      <c r="B33" s="2">
        <v>58</v>
      </c>
      <c r="C33" s="2" t="s">
        <v>6</v>
      </c>
      <c r="D33" s="2">
        <v>4</v>
      </c>
      <c r="E33" s="2" t="str">
        <f t="shared" si="0"/>
        <v>Positive</v>
      </c>
      <c r="F33" s="3" t="s">
        <v>22</v>
      </c>
    </row>
    <row r="34" spans="1:6">
      <c r="A34" s="1" t="s">
        <v>52</v>
      </c>
      <c r="B34" s="2">
        <v>61</v>
      </c>
      <c r="C34" s="2" t="s">
        <v>11</v>
      </c>
      <c r="D34" s="2">
        <v>4</v>
      </c>
      <c r="E34" s="2" t="str">
        <f t="shared" si="0"/>
        <v>Positive</v>
      </c>
      <c r="F34" s="3" t="s">
        <v>53</v>
      </c>
    </row>
    <row r="35" spans="1:6">
      <c r="A35" s="1" t="s">
        <v>54</v>
      </c>
      <c r="B35" s="2">
        <v>33</v>
      </c>
      <c r="C35" s="2" t="s">
        <v>11</v>
      </c>
      <c r="D35" s="2">
        <v>2</v>
      </c>
      <c r="E35" s="2" t="str">
        <f t="shared" si="0"/>
        <v>Negative</v>
      </c>
      <c r="F35" s="3" t="s">
        <v>29</v>
      </c>
    </row>
    <row r="36" spans="1:6">
      <c r="A36" s="1" t="s">
        <v>55</v>
      </c>
      <c r="B36" s="2">
        <v>64</v>
      </c>
      <c r="C36" s="2" t="s">
        <v>6</v>
      </c>
      <c r="D36" s="2">
        <v>5</v>
      </c>
      <c r="E36" s="2" t="str">
        <f t="shared" si="0"/>
        <v>Positive</v>
      </c>
      <c r="F36" s="3" t="s">
        <v>16</v>
      </c>
    </row>
    <row r="37" spans="1:6">
      <c r="A37" s="1" t="s">
        <v>56</v>
      </c>
      <c r="B37" s="2">
        <v>40</v>
      </c>
      <c r="C37" s="2" t="s">
        <v>6</v>
      </c>
      <c r="D37" s="2">
        <v>5</v>
      </c>
      <c r="E37" s="2" t="str">
        <f t="shared" si="0"/>
        <v>Positive</v>
      </c>
      <c r="F37" s="3" t="s">
        <v>14</v>
      </c>
    </row>
    <row r="38" spans="1:6">
      <c r="A38" s="1" t="s">
        <v>57</v>
      </c>
      <c r="B38" s="2">
        <v>58</v>
      </c>
      <c r="C38" s="2" t="s">
        <v>6</v>
      </c>
      <c r="D38" s="2">
        <v>5</v>
      </c>
      <c r="E38" s="2" t="str">
        <f t="shared" si="0"/>
        <v>Positive</v>
      </c>
      <c r="F38" s="3" t="s">
        <v>9</v>
      </c>
    </row>
    <row r="39" spans="1:6">
      <c r="A39" s="1" t="s">
        <v>58</v>
      </c>
      <c r="B39" s="2">
        <v>43</v>
      </c>
      <c r="C39" s="2" t="s">
        <v>6</v>
      </c>
      <c r="D39" s="2">
        <v>3</v>
      </c>
      <c r="E39" s="2" t="str">
        <f t="shared" si="0"/>
        <v>Neutral</v>
      </c>
      <c r="F39" s="3" t="s">
        <v>59</v>
      </c>
    </row>
    <row r="40" spans="1:6">
      <c r="A40" s="1" t="s">
        <v>60</v>
      </c>
      <c r="B40" s="2">
        <v>35</v>
      </c>
      <c r="C40" s="2" t="s">
        <v>6</v>
      </c>
      <c r="D40" s="2">
        <v>3</v>
      </c>
      <c r="E40" s="2" t="str">
        <f t="shared" si="0"/>
        <v>Neutral</v>
      </c>
      <c r="F40" s="3" t="s">
        <v>59</v>
      </c>
    </row>
    <row r="41" spans="1:6">
      <c r="A41" s="1" t="s">
        <v>61</v>
      </c>
      <c r="B41" s="2">
        <v>22</v>
      </c>
      <c r="C41" s="2" t="s">
        <v>11</v>
      </c>
      <c r="D41" s="2">
        <v>1</v>
      </c>
      <c r="E41" s="2" t="str">
        <f t="shared" si="0"/>
        <v>Negative</v>
      </c>
      <c r="F41" s="3" t="s">
        <v>29</v>
      </c>
    </row>
    <row r="42" spans="1:6">
      <c r="A42" s="1" t="s">
        <v>62</v>
      </c>
      <c r="B42" s="2">
        <v>22</v>
      </c>
      <c r="C42" s="2" t="s">
        <v>6</v>
      </c>
      <c r="D42" s="2">
        <v>4</v>
      </c>
      <c r="E42" s="2" t="str">
        <f t="shared" si="0"/>
        <v>Positive</v>
      </c>
      <c r="F42" s="3" t="s">
        <v>22</v>
      </c>
    </row>
    <row r="43" spans="1:6">
      <c r="A43" s="1" t="s">
        <v>63</v>
      </c>
      <c r="B43" s="2">
        <v>65</v>
      </c>
      <c r="C43" s="2" t="s">
        <v>11</v>
      </c>
      <c r="D43" s="2">
        <v>3</v>
      </c>
      <c r="E43" s="2" t="str">
        <f t="shared" si="0"/>
        <v>Neutral</v>
      </c>
      <c r="F43" s="3" t="s">
        <v>59</v>
      </c>
    </row>
    <row r="44" spans="1:6">
      <c r="A44" s="1" t="s">
        <v>64</v>
      </c>
      <c r="B44" s="2">
        <v>49</v>
      </c>
      <c r="C44" s="2" t="s">
        <v>6</v>
      </c>
      <c r="D44" s="2">
        <v>5</v>
      </c>
      <c r="E44" s="2" t="str">
        <f t="shared" si="0"/>
        <v>Positive</v>
      </c>
      <c r="F44" s="3" t="s">
        <v>53</v>
      </c>
    </row>
    <row r="45" spans="1:6">
      <c r="A45" s="1" t="s">
        <v>65</v>
      </c>
      <c r="B45" s="2">
        <v>20</v>
      </c>
      <c r="C45" s="2" t="s">
        <v>6</v>
      </c>
      <c r="D45" s="2">
        <v>1</v>
      </c>
      <c r="E45" s="2" t="str">
        <f t="shared" si="0"/>
        <v>Negative</v>
      </c>
      <c r="F45" s="3" t="s">
        <v>12</v>
      </c>
    </row>
    <row r="46" spans="1:6">
      <c r="A46" s="1" t="s">
        <v>66</v>
      </c>
      <c r="B46" s="2">
        <v>63</v>
      </c>
      <c r="C46" s="2" t="s">
        <v>6</v>
      </c>
      <c r="D46" s="2">
        <v>1</v>
      </c>
      <c r="E46" s="2" t="str">
        <f t="shared" si="0"/>
        <v>Negative</v>
      </c>
      <c r="F46" s="3" t="s">
        <v>25</v>
      </c>
    </row>
    <row r="47" spans="1:6">
      <c r="A47" s="1" t="s">
        <v>67</v>
      </c>
      <c r="B47" s="2">
        <v>55</v>
      </c>
      <c r="C47" s="2" t="s">
        <v>6</v>
      </c>
      <c r="D47" s="2">
        <v>1</v>
      </c>
      <c r="E47" s="2" t="str">
        <f t="shared" si="0"/>
        <v>Negative</v>
      </c>
      <c r="F47" s="3" t="s">
        <v>27</v>
      </c>
    </row>
    <row r="48" spans="1:6">
      <c r="A48" s="1" t="s">
        <v>68</v>
      </c>
      <c r="B48" s="2">
        <v>61</v>
      </c>
      <c r="C48" s="2" t="s">
        <v>11</v>
      </c>
      <c r="D48" s="2">
        <v>5</v>
      </c>
      <c r="E48" s="2" t="str">
        <f t="shared" si="0"/>
        <v>Positive</v>
      </c>
      <c r="F48" s="3" t="s">
        <v>22</v>
      </c>
    </row>
    <row r="49" spans="1:6">
      <c r="A49" s="1" t="s">
        <v>69</v>
      </c>
      <c r="B49" s="2">
        <v>29</v>
      </c>
      <c r="C49" s="2" t="s">
        <v>11</v>
      </c>
      <c r="D49" s="2">
        <v>1</v>
      </c>
      <c r="E49" s="2" t="str">
        <f t="shared" si="0"/>
        <v>Negative</v>
      </c>
      <c r="F49" s="3" t="s">
        <v>12</v>
      </c>
    </row>
    <row r="50" spans="1:6">
      <c r="A50" s="1" t="s">
        <v>70</v>
      </c>
      <c r="B50" s="2">
        <v>29</v>
      </c>
      <c r="C50" s="2" t="s">
        <v>11</v>
      </c>
      <c r="D50" s="2">
        <v>4</v>
      </c>
      <c r="E50" s="2" t="str">
        <f t="shared" si="0"/>
        <v>Positive</v>
      </c>
      <c r="F50" s="3" t="s">
        <v>16</v>
      </c>
    </row>
    <row r="51" spans="1:6">
      <c r="A51" s="1" t="s">
        <v>71</v>
      </c>
      <c r="B51" s="2">
        <v>31</v>
      </c>
      <c r="C51" s="2" t="s">
        <v>11</v>
      </c>
      <c r="D51" s="2">
        <v>5</v>
      </c>
      <c r="E51" s="2" t="str">
        <f t="shared" si="0"/>
        <v>Positive</v>
      </c>
      <c r="F51" s="3" t="s">
        <v>9</v>
      </c>
    </row>
    <row r="52" spans="1:6">
      <c r="A52" s="1" t="s">
        <v>72</v>
      </c>
      <c r="B52" s="2">
        <v>65</v>
      </c>
      <c r="C52" s="2" t="s">
        <v>6</v>
      </c>
      <c r="D52" s="2">
        <v>3</v>
      </c>
      <c r="E52" s="2" t="str">
        <f t="shared" si="0"/>
        <v>Neutral</v>
      </c>
      <c r="F52" s="3" t="s">
        <v>37</v>
      </c>
    </row>
    <row r="53" spans="1:6">
      <c r="A53" s="1" t="s">
        <v>73</v>
      </c>
      <c r="B53" s="2">
        <v>60</v>
      </c>
      <c r="C53" s="2" t="s">
        <v>11</v>
      </c>
      <c r="D53" s="2">
        <v>5</v>
      </c>
      <c r="E53" s="2" t="str">
        <f t="shared" si="0"/>
        <v>Positive</v>
      </c>
      <c r="F53" s="3" t="s">
        <v>9</v>
      </c>
    </row>
    <row r="54" spans="1:6">
      <c r="A54" s="1" t="s">
        <v>74</v>
      </c>
      <c r="B54" s="2">
        <v>18</v>
      </c>
      <c r="C54" s="2" t="s">
        <v>6</v>
      </c>
      <c r="D54" s="2">
        <v>2</v>
      </c>
      <c r="E54" s="2" t="str">
        <f t="shared" si="0"/>
        <v>Negative</v>
      </c>
      <c r="F54" s="3" t="s">
        <v>29</v>
      </c>
    </row>
    <row r="55" spans="1:6">
      <c r="A55" s="1" t="s">
        <v>75</v>
      </c>
      <c r="B55" s="2">
        <v>29</v>
      </c>
      <c r="C55" s="2" t="s">
        <v>11</v>
      </c>
      <c r="D55" s="2">
        <v>3</v>
      </c>
      <c r="E55" s="2" t="str">
        <f t="shared" si="0"/>
        <v>Neutral</v>
      </c>
      <c r="F55" s="3" t="s">
        <v>50</v>
      </c>
    </row>
    <row r="56" spans="1:6">
      <c r="A56" s="1" t="s">
        <v>76</v>
      </c>
      <c r="B56" s="2">
        <v>18</v>
      </c>
      <c r="C56" s="2" t="s">
        <v>6</v>
      </c>
      <c r="D56" s="2">
        <v>1</v>
      </c>
      <c r="E56" s="2" t="str">
        <f t="shared" si="0"/>
        <v>Negative</v>
      </c>
      <c r="F56" s="3" t="s">
        <v>46</v>
      </c>
    </row>
    <row r="57" spans="1:6">
      <c r="A57" s="1" t="s">
        <v>77</v>
      </c>
      <c r="B57" s="2">
        <v>25</v>
      </c>
      <c r="C57" s="2" t="s">
        <v>11</v>
      </c>
      <c r="D57" s="2">
        <v>3</v>
      </c>
      <c r="E57" s="2" t="str">
        <f t="shared" si="0"/>
        <v>Neutral</v>
      </c>
      <c r="F57" s="3" t="s">
        <v>37</v>
      </c>
    </row>
    <row r="58" spans="1:6">
      <c r="A58" s="1" t="s">
        <v>78</v>
      </c>
      <c r="B58" s="2">
        <v>42</v>
      </c>
      <c r="C58" s="2" t="s">
        <v>11</v>
      </c>
      <c r="D58" s="2">
        <v>1</v>
      </c>
      <c r="E58" s="2" t="str">
        <f t="shared" si="0"/>
        <v>Negative</v>
      </c>
      <c r="F58" s="3" t="s">
        <v>29</v>
      </c>
    </row>
    <row r="59" spans="1:6">
      <c r="A59" s="1" t="s">
        <v>79</v>
      </c>
      <c r="B59" s="2">
        <v>44</v>
      </c>
      <c r="C59" s="2" t="s">
        <v>11</v>
      </c>
      <c r="D59" s="2">
        <v>3</v>
      </c>
      <c r="E59" s="2" t="str">
        <f t="shared" si="0"/>
        <v>Neutral</v>
      </c>
      <c r="F59" s="3" t="s">
        <v>20</v>
      </c>
    </row>
    <row r="60" spans="1:6">
      <c r="A60" s="1" t="s">
        <v>80</v>
      </c>
      <c r="B60" s="2">
        <v>37</v>
      </c>
      <c r="C60" s="2" t="s">
        <v>11</v>
      </c>
      <c r="D60" s="2">
        <v>3</v>
      </c>
      <c r="E60" s="2" t="str">
        <f t="shared" si="0"/>
        <v>Neutral</v>
      </c>
      <c r="F60" s="3" t="s">
        <v>7</v>
      </c>
    </row>
    <row r="61" spans="1:6">
      <c r="A61" s="1" t="s">
        <v>81</v>
      </c>
      <c r="B61" s="2">
        <v>39</v>
      </c>
      <c r="C61" s="2" t="s">
        <v>11</v>
      </c>
      <c r="D61" s="2">
        <v>3</v>
      </c>
      <c r="E61" s="2" t="str">
        <f t="shared" si="0"/>
        <v>Neutral</v>
      </c>
      <c r="F61" s="3" t="s">
        <v>59</v>
      </c>
    </row>
    <row r="62" spans="1:6">
      <c r="A62" s="1" t="s">
        <v>82</v>
      </c>
      <c r="B62" s="2">
        <v>23</v>
      </c>
      <c r="C62" s="2" t="s">
        <v>11</v>
      </c>
      <c r="D62" s="2">
        <v>5</v>
      </c>
      <c r="E62" s="2" t="str">
        <f t="shared" si="0"/>
        <v>Positive</v>
      </c>
      <c r="F62" s="3" t="s">
        <v>14</v>
      </c>
    </row>
    <row r="63" spans="1:6">
      <c r="A63" s="1" t="s">
        <v>83</v>
      </c>
      <c r="B63" s="2">
        <v>30</v>
      </c>
      <c r="C63" s="2" t="s">
        <v>11</v>
      </c>
      <c r="D63" s="2">
        <v>2</v>
      </c>
      <c r="E63" s="2" t="str">
        <f t="shared" si="0"/>
        <v>Negative</v>
      </c>
      <c r="F63" s="3" t="s">
        <v>27</v>
      </c>
    </row>
    <row r="64" spans="1:6">
      <c r="A64" s="1" t="s">
        <v>84</v>
      </c>
      <c r="B64" s="2">
        <v>29</v>
      </c>
      <c r="C64" s="2" t="s">
        <v>6</v>
      </c>
      <c r="D64" s="2">
        <v>5</v>
      </c>
      <c r="E64" s="2" t="str">
        <f t="shared" si="0"/>
        <v>Positive</v>
      </c>
      <c r="F64" s="3" t="s">
        <v>14</v>
      </c>
    </row>
    <row r="65" spans="1:6">
      <c r="A65" s="1" t="s">
        <v>85</v>
      </c>
      <c r="B65" s="2">
        <v>45</v>
      </c>
      <c r="C65" s="2" t="s">
        <v>6</v>
      </c>
      <c r="D65" s="2">
        <v>4</v>
      </c>
      <c r="E65" s="2" t="str">
        <f t="shared" si="0"/>
        <v>Positive</v>
      </c>
      <c r="F65" s="3" t="s">
        <v>53</v>
      </c>
    </row>
    <row r="66" spans="1:6">
      <c r="A66" s="1" t="s">
        <v>86</v>
      </c>
      <c r="B66" s="2">
        <v>35</v>
      </c>
      <c r="C66" s="2" t="s">
        <v>6</v>
      </c>
      <c r="D66" s="2">
        <v>4</v>
      </c>
      <c r="E66" s="2" t="str">
        <f t="shared" si="0"/>
        <v>Positive</v>
      </c>
      <c r="F66" s="3" t="s">
        <v>53</v>
      </c>
    </row>
    <row r="67" spans="1:6">
      <c r="A67" s="1" t="s">
        <v>87</v>
      </c>
      <c r="B67" s="2">
        <v>29</v>
      </c>
      <c r="C67" s="2" t="s">
        <v>6</v>
      </c>
      <c r="D67" s="2">
        <v>1</v>
      </c>
      <c r="E67" s="2" t="str">
        <f t="shared" ref="E67:E130" si="1">IF(D67&gt;=4,"Positive",IF(D67=3,"Neutral","Negative"))</f>
        <v>Negative</v>
      </c>
      <c r="F67" s="3" t="s">
        <v>46</v>
      </c>
    </row>
    <row r="68" spans="1:6">
      <c r="A68" s="1" t="s">
        <v>88</v>
      </c>
      <c r="B68" s="2">
        <v>40</v>
      </c>
      <c r="C68" s="2" t="s">
        <v>11</v>
      </c>
      <c r="D68" s="2">
        <v>5</v>
      </c>
      <c r="E68" s="2" t="str">
        <f t="shared" si="1"/>
        <v>Positive</v>
      </c>
      <c r="F68" s="3" t="s">
        <v>9</v>
      </c>
    </row>
    <row r="69" spans="1:6">
      <c r="A69" s="1" t="s">
        <v>89</v>
      </c>
      <c r="B69" s="2">
        <v>25</v>
      </c>
      <c r="C69" s="2" t="s">
        <v>6</v>
      </c>
      <c r="D69" s="2">
        <v>5</v>
      </c>
      <c r="E69" s="2" t="str">
        <f t="shared" si="1"/>
        <v>Positive</v>
      </c>
      <c r="F69" s="3" t="s">
        <v>14</v>
      </c>
    </row>
    <row r="70" spans="1:6">
      <c r="A70" s="1" t="s">
        <v>90</v>
      </c>
      <c r="B70" s="2">
        <v>30</v>
      </c>
      <c r="C70" s="2" t="s">
        <v>6</v>
      </c>
      <c r="D70" s="2">
        <v>4</v>
      </c>
      <c r="E70" s="2" t="str">
        <f t="shared" si="1"/>
        <v>Positive</v>
      </c>
      <c r="F70" s="3" t="s">
        <v>9</v>
      </c>
    </row>
    <row r="71" spans="1:6">
      <c r="A71" s="1" t="s">
        <v>91</v>
      </c>
      <c r="B71" s="2">
        <v>28</v>
      </c>
      <c r="C71" s="2" t="s">
        <v>11</v>
      </c>
      <c r="D71" s="2">
        <v>4</v>
      </c>
      <c r="E71" s="2" t="str">
        <f t="shared" si="1"/>
        <v>Positive</v>
      </c>
      <c r="F71" s="3" t="s">
        <v>53</v>
      </c>
    </row>
    <row r="72" spans="1:6">
      <c r="A72" s="1" t="s">
        <v>92</v>
      </c>
      <c r="B72" s="2">
        <v>27</v>
      </c>
      <c r="C72" s="2" t="s">
        <v>11</v>
      </c>
      <c r="D72" s="2">
        <v>1</v>
      </c>
      <c r="E72" s="2" t="str">
        <f t="shared" si="1"/>
        <v>Negative</v>
      </c>
      <c r="F72" s="3" t="s">
        <v>46</v>
      </c>
    </row>
    <row r="73" spans="1:6">
      <c r="A73" s="1" t="s">
        <v>93</v>
      </c>
      <c r="B73" s="2">
        <v>56</v>
      </c>
      <c r="C73" s="2" t="s">
        <v>11</v>
      </c>
      <c r="D73" s="2">
        <v>5</v>
      </c>
      <c r="E73" s="2" t="str">
        <f t="shared" si="1"/>
        <v>Positive</v>
      </c>
      <c r="F73" s="3" t="s">
        <v>14</v>
      </c>
    </row>
    <row r="74" spans="1:6">
      <c r="A74" s="1" t="s">
        <v>94</v>
      </c>
      <c r="B74" s="2">
        <v>64</v>
      </c>
      <c r="C74" s="2" t="s">
        <v>6</v>
      </c>
      <c r="D74" s="2">
        <v>3</v>
      </c>
      <c r="E74" s="2" t="str">
        <f t="shared" si="1"/>
        <v>Neutral</v>
      </c>
      <c r="F74" s="3" t="s">
        <v>50</v>
      </c>
    </row>
    <row r="75" spans="1:6">
      <c r="A75" s="1" t="s">
        <v>95</v>
      </c>
      <c r="B75" s="2">
        <v>47</v>
      </c>
      <c r="C75" s="2" t="s">
        <v>6</v>
      </c>
      <c r="D75" s="2">
        <v>1</v>
      </c>
      <c r="E75" s="2" t="str">
        <f t="shared" si="1"/>
        <v>Negative</v>
      </c>
      <c r="F75" s="3" t="s">
        <v>46</v>
      </c>
    </row>
    <row r="76" spans="1:6">
      <c r="A76" s="1" t="s">
        <v>96</v>
      </c>
      <c r="B76" s="2">
        <v>19</v>
      </c>
      <c r="C76" s="2" t="s">
        <v>11</v>
      </c>
      <c r="D76" s="2">
        <v>3</v>
      </c>
      <c r="E76" s="2" t="str">
        <f t="shared" si="1"/>
        <v>Neutral</v>
      </c>
      <c r="F76" s="3" t="s">
        <v>37</v>
      </c>
    </row>
    <row r="77" spans="1:6">
      <c r="A77" s="1" t="s">
        <v>97</v>
      </c>
      <c r="B77" s="2">
        <v>46</v>
      </c>
      <c r="C77" s="2" t="s">
        <v>6</v>
      </c>
      <c r="D77" s="2">
        <v>5</v>
      </c>
      <c r="E77" s="2" t="str">
        <f t="shared" si="1"/>
        <v>Positive</v>
      </c>
      <c r="F77" s="3" t="s">
        <v>53</v>
      </c>
    </row>
    <row r="78" spans="1:6">
      <c r="A78" s="1" t="s">
        <v>98</v>
      </c>
      <c r="B78" s="2">
        <v>55</v>
      </c>
      <c r="C78" s="2" t="s">
        <v>6</v>
      </c>
      <c r="D78" s="2">
        <v>2</v>
      </c>
      <c r="E78" s="2" t="str">
        <f t="shared" si="1"/>
        <v>Negative</v>
      </c>
      <c r="F78" s="3" t="s">
        <v>27</v>
      </c>
    </row>
    <row r="79" spans="1:6">
      <c r="A79" s="1" t="s">
        <v>99</v>
      </c>
      <c r="B79" s="2">
        <v>38</v>
      </c>
      <c r="C79" s="2" t="s">
        <v>6</v>
      </c>
      <c r="D79" s="2">
        <v>4</v>
      </c>
      <c r="E79" s="2" t="str">
        <f t="shared" si="1"/>
        <v>Positive</v>
      </c>
      <c r="F79" s="3" t="s">
        <v>14</v>
      </c>
    </row>
    <row r="80" spans="1:6">
      <c r="A80" s="1" t="s">
        <v>100</v>
      </c>
      <c r="B80" s="2">
        <v>47</v>
      </c>
      <c r="C80" s="2" t="s">
        <v>11</v>
      </c>
      <c r="D80" s="2">
        <v>1</v>
      </c>
      <c r="E80" s="2" t="str">
        <f t="shared" si="1"/>
        <v>Negative</v>
      </c>
      <c r="F80" s="3" t="s">
        <v>12</v>
      </c>
    </row>
    <row r="81" spans="1:6">
      <c r="A81" s="1" t="s">
        <v>101</v>
      </c>
      <c r="B81" s="2">
        <v>21</v>
      </c>
      <c r="C81" s="2" t="s">
        <v>6</v>
      </c>
      <c r="D81" s="2">
        <v>2</v>
      </c>
      <c r="E81" s="2" t="str">
        <f t="shared" si="1"/>
        <v>Negative</v>
      </c>
      <c r="F81" s="3" t="s">
        <v>25</v>
      </c>
    </row>
    <row r="82" spans="1:6">
      <c r="A82" s="1" t="s">
        <v>102</v>
      </c>
      <c r="B82" s="2">
        <v>47</v>
      </c>
      <c r="C82" s="2" t="s">
        <v>11</v>
      </c>
      <c r="D82" s="2">
        <v>1</v>
      </c>
      <c r="E82" s="2" t="str">
        <f t="shared" si="1"/>
        <v>Negative</v>
      </c>
      <c r="F82" s="3" t="s">
        <v>12</v>
      </c>
    </row>
    <row r="83" spans="1:6">
      <c r="A83" s="1" t="s">
        <v>103</v>
      </c>
      <c r="B83" s="2">
        <v>42</v>
      </c>
      <c r="C83" s="2" t="s">
        <v>6</v>
      </c>
      <c r="D83" s="2">
        <v>3</v>
      </c>
      <c r="E83" s="2" t="str">
        <f t="shared" si="1"/>
        <v>Neutral</v>
      </c>
      <c r="F83" s="3" t="s">
        <v>7</v>
      </c>
    </row>
    <row r="84" spans="1:6">
      <c r="A84" s="1" t="s">
        <v>104</v>
      </c>
      <c r="B84" s="2">
        <v>40</v>
      </c>
      <c r="C84" s="2" t="s">
        <v>6</v>
      </c>
      <c r="D84" s="2">
        <v>3</v>
      </c>
      <c r="E84" s="2" t="str">
        <f t="shared" si="1"/>
        <v>Neutral</v>
      </c>
      <c r="F84" s="3" t="s">
        <v>7</v>
      </c>
    </row>
    <row r="85" spans="1:6">
      <c r="A85" s="1" t="s">
        <v>105</v>
      </c>
      <c r="B85" s="2">
        <v>47</v>
      </c>
      <c r="C85" s="2" t="s">
        <v>6</v>
      </c>
      <c r="D85" s="2">
        <v>1</v>
      </c>
      <c r="E85" s="2" t="str">
        <f t="shared" si="1"/>
        <v>Negative</v>
      </c>
      <c r="F85" s="3" t="s">
        <v>12</v>
      </c>
    </row>
    <row r="86" spans="1:6">
      <c r="A86" s="1" t="s">
        <v>106</v>
      </c>
      <c r="B86" s="2">
        <v>53</v>
      </c>
      <c r="C86" s="2" t="s">
        <v>6</v>
      </c>
      <c r="D86" s="2">
        <v>3</v>
      </c>
      <c r="E86" s="2" t="str">
        <f t="shared" si="1"/>
        <v>Neutral</v>
      </c>
      <c r="F86" s="3" t="s">
        <v>50</v>
      </c>
    </row>
    <row r="87" spans="1:6">
      <c r="A87" s="1" t="s">
        <v>107</v>
      </c>
      <c r="B87" s="2">
        <v>44</v>
      </c>
      <c r="C87" s="2" t="s">
        <v>6</v>
      </c>
      <c r="D87" s="2">
        <v>3</v>
      </c>
      <c r="E87" s="2" t="str">
        <f t="shared" si="1"/>
        <v>Neutral</v>
      </c>
      <c r="F87" s="3" t="s">
        <v>7</v>
      </c>
    </row>
    <row r="88" spans="1:6">
      <c r="A88" s="1" t="s">
        <v>108</v>
      </c>
      <c r="B88" s="2">
        <v>31</v>
      </c>
      <c r="C88" s="2" t="s">
        <v>11</v>
      </c>
      <c r="D88" s="2">
        <v>2</v>
      </c>
      <c r="E88" s="2" t="str">
        <f t="shared" si="1"/>
        <v>Negative</v>
      </c>
      <c r="F88" s="3" t="s">
        <v>27</v>
      </c>
    </row>
    <row r="89" spans="1:6">
      <c r="A89" s="1" t="s">
        <v>109</v>
      </c>
      <c r="B89" s="2">
        <v>23</v>
      </c>
      <c r="C89" s="2" t="s">
        <v>6</v>
      </c>
      <c r="D89" s="2">
        <v>5</v>
      </c>
      <c r="E89" s="2" t="str">
        <f t="shared" si="1"/>
        <v>Positive</v>
      </c>
      <c r="F89" s="3" t="s">
        <v>53</v>
      </c>
    </row>
    <row r="90" spans="1:6">
      <c r="A90" s="1" t="s">
        <v>110</v>
      </c>
      <c r="B90" s="2">
        <v>33</v>
      </c>
      <c r="C90" s="2" t="s">
        <v>6</v>
      </c>
      <c r="D90" s="2">
        <v>3</v>
      </c>
      <c r="E90" s="2" t="str">
        <f t="shared" si="1"/>
        <v>Neutral</v>
      </c>
      <c r="F90" s="3" t="s">
        <v>20</v>
      </c>
    </row>
    <row r="91" spans="1:6">
      <c r="A91" s="1" t="s">
        <v>111</v>
      </c>
      <c r="B91" s="2">
        <v>43</v>
      </c>
      <c r="C91" s="2" t="s">
        <v>11</v>
      </c>
      <c r="D91" s="2">
        <v>3</v>
      </c>
      <c r="E91" s="2" t="str">
        <f t="shared" si="1"/>
        <v>Neutral</v>
      </c>
      <c r="F91" s="3" t="s">
        <v>37</v>
      </c>
    </row>
    <row r="92" spans="1:6">
      <c r="A92" s="1" t="s">
        <v>112</v>
      </c>
      <c r="B92" s="2">
        <v>47</v>
      </c>
      <c r="C92" s="2" t="s">
        <v>11</v>
      </c>
      <c r="D92" s="2">
        <v>5</v>
      </c>
      <c r="E92" s="2" t="str">
        <f t="shared" si="1"/>
        <v>Positive</v>
      </c>
      <c r="F92" s="3" t="s">
        <v>53</v>
      </c>
    </row>
    <row r="93" spans="1:6">
      <c r="A93" s="1" t="s">
        <v>113</v>
      </c>
      <c r="B93" s="2">
        <v>47</v>
      </c>
      <c r="C93" s="2" t="s">
        <v>11</v>
      </c>
      <c r="D93" s="2">
        <v>5</v>
      </c>
      <c r="E93" s="2" t="str">
        <f t="shared" si="1"/>
        <v>Positive</v>
      </c>
      <c r="F93" s="3" t="s">
        <v>9</v>
      </c>
    </row>
    <row r="94" spans="1:6">
      <c r="A94" s="1" t="s">
        <v>114</v>
      </c>
      <c r="B94" s="2">
        <v>51</v>
      </c>
      <c r="C94" s="2" t="s">
        <v>11</v>
      </c>
      <c r="D94" s="2">
        <v>1</v>
      </c>
      <c r="E94" s="2" t="str">
        <f t="shared" si="1"/>
        <v>Negative</v>
      </c>
      <c r="F94" s="3" t="s">
        <v>27</v>
      </c>
    </row>
    <row r="95" spans="1:6">
      <c r="A95" s="1" t="s">
        <v>115</v>
      </c>
      <c r="B95" s="2">
        <v>58</v>
      </c>
      <c r="C95" s="2" t="s">
        <v>6</v>
      </c>
      <c r="D95" s="2">
        <v>1</v>
      </c>
      <c r="E95" s="2" t="str">
        <f t="shared" si="1"/>
        <v>Negative</v>
      </c>
      <c r="F95" s="3" t="s">
        <v>12</v>
      </c>
    </row>
    <row r="96" spans="1:6">
      <c r="A96" s="1" t="s">
        <v>116</v>
      </c>
      <c r="B96" s="2">
        <v>59</v>
      </c>
      <c r="C96" s="2" t="s">
        <v>11</v>
      </c>
      <c r="D96" s="2">
        <v>2</v>
      </c>
      <c r="E96" s="2" t="str">
        <f t="shared" si="1"/>
        <v>Negative</v>
      </c>
      <c r="F96" s="3" t="s">
        <v>12</v>
      </c>
    </row>
    <row r="97" spans="1:6">
      <c r="A97" s="1" t="s">
        <v>117</v>
      </c>
      <c r="B97" s="2">
        <v>44</v>
      </c>
      <c r="C97" s="2" t="s">
        <v>11</v>
      </c>
      <c r="D97" s="2">
        <v>5</v>
      </c>
      <c r="E97" s="2" t="str">
        <f t="shared" si="1"/>
        <v>Positive</v>
      </c>
      <c r="F97" s="3" t="s">
        <v>22</v>
      </c>
    </row>
    <row r="98" spans="1:6">
      <c r="A98" s="1" t="s">
        <v>118</v>
      </c>
      <c r="B98" s="2">
        <v>55</v>
      </c>
      <c r="C98" s="2" t="s">
        <v>11</v>
      </c>
      <c r="D98" s="2">
        <v>3</v>
      </c>
      <c r="E98" s="2" t="str">
        <f t="shared" si="1"/>
        <v>Neutral</v>
      </c>
      <c r="F98" s="3" t="s">
        <v>20</v>
      </c>
    </row>
    <row r="99" spans="1:6">
      <c r="A99" s="1" t="s">
        <v>119</v>
      </c>
      <c r="B99" s="2">
        <v>49</v>
      </c>
      <c r="C99" s="2" t="s">
        <v>11</v>
      </c>
      <c r="D99" s="2">
        <v>4</v>
      </c>
      <c r="E99" s="2" t="str">
        <f t="shared" si="1"/>
        <v>Positive</v>
      </c>
      <c r="F99" s="3" t="s">
        <v>53</v>
      </c>
    </row>
    <row r="100" spans="1:6">
      <c r="A100" s="1" t="s">
        <v>120</v>
      </c>
      <c r="B100" s="2">
        <v>41</v>
      </c>
      <c r="C100" s="2" t="s">
        <v>6</v>
      </c>
      <c r="D100" s="2">
        <v>5</v>
      </c>
      <c r="E100" s="2" t="str">
        <f t="shared" si="1"/>
        <v>Positive</v>
      </c>
      <c r="F100" s="3" t="s">
        <v>9</v>
      </c>
    </row>
    <row r="101" spans="1:6">
      <c r="A101" s="1" t="s">
        <v>121</v>
      </c>
      <c r="B101" s="2">
        <v>36</v>
      </c>
      <c r="C101" s="2" t="s">
        <v>11</v>
      </c>
      <c r="D101" s="2">
        <v>2</v>
      </c>
      <c r="E101" s="2" t="str">
        <f t="shared" si="1"/>
        <v>Negative</v>
      </c>
      <c r="F101" s="3" t="s">
        <v>27</v>
      </c>
    </row>
    <row r="102" spans="1:6">
      <c r="A102" s="1" t="s">
        <v>122</v>
      </c>
      <c r="B102" s="2">
        <v>29</v>
      </c>
      <c r="C102" s="2" t="s">
        <v>11</v>
      </c>
      <c r="D102" s="2">
        <v>1</v>
      </c>
      <c r="E102" s="2" t="str">
        <f t="shared" si="1"/>
        <v>Negative</v>
      </c>
      <c r="F102" s="3" t="s">
        <v>25</v>
      </c>
    </row>
    <row r="103" spans="1:6">
      <c r="A103" s="1" t="s">
        <v>123</v>
      </c>
      <c r="B103" s="2">
        <v>65</v>
      </c>
      <c r="C103" s="2" t="s">
        <v>11</v>
      </c>
      <c r="D103" s="2">
        <v>1</v>
      </c>
      <c r="E103" s="2" t="str">
        <f t="shared" si="1"/>
        <v>Negative</v>
      </c>
      <c r="F103" s="3" t="s">
        <v>29</v>
      </c>
    </row>
    <row r="104" spans="1:6">
      <c r="A104" s="1" t="s">
        <v>124</v>
      </c>
      <c r="B104" s="2">
        <v>42</v>
      </c>
      <c r="C104" s="2" t="s">
        <v>11</v>
      </c>
      <c r="D104" s="2">
        <v>4</v>
      </c>
      <c r="E104" s="2" t="str">
        <f t="shared" si="1"/>
        <v>Positive</v>
      </c>
      <c r="F104" s="3" t="s">
        <v>14</v>
      </c>
    </row>
    <row r="105" spans="1:6">
      <c r="A105" s="1" t="s">
        <v>125</v>
      </c>
      <c r="B105" s="2">
        <v>25</v>
      </c>
      <c r="C105" s="2" t="s">
        <v>11</v>
      </c>
      <c r="D105" s="2">
        <v>2</v>
      </c>
      <c r="E105" s="2" t="str">
        <f t="shared" si="1"/>
        <v>Negative</v>
      </c>
      <c r="F105" s="3" t="s">
        <v>29</v>
      </c>
    </row>
    <row r="106" spans="1:6">
      <c r="A106" s="1" t="s">
        <v>126</v>
      </c>
      <c r="B106" s="2">
        <v>27</v>
      </c>
      <c r="C106" s="2" t="s">
        <v>11</v>
      </c>
      <c r="D106" s="2">
        <v>2</v>
      </c>
      <c r="E106" s="2" t="str">
        <f t="shared" si="1"/>
        <v>Negative</v>
      </c>
      <c r="F106" s="3" t="s">
        <v>25</v>
      </c>
    </row>
    <row r="107" spans="1:6">
      <c r="A107" s="1" t="s">
        <v>127</v>
      </c>
      <c r="B107" s="2">
        <v>46</v>
      </c>
      <c r="C107" s="2" t="s">
        <v>6</v>
      </c>
      <c r="D107" s="2">
        <v>2</v>
      </c>
      <c r="E107" s="2" t="str">
        <f t="shared" si="1"/>
        <v>Negative</v>
      </c>
      <c r="F107" s="3" t="s">
        <v>12</v>
      </c>
    </row>
    <row r="108" spans="1:6">
      <c r="A108" s="1" t="s">
        <v>128</v>
      </c>
      <c r="B108" s="2">
        <v>35</v>
      </c>
      <c r="C108" s="2" t="s">
        <v>6</v>
      </c>
      <c r="D108" s="2">
        <v>2</v>
      </c>
      <c r="E108" s="2" t="str">
        <f t="shared" si="1"/>
        <v>Negative</v>
      </c>
      <c r="F108" s="3" t="s">
        <v>29</v>
      </c>
    </row>
    <row r="109" spans="1:6">
      <c r="A109" s="1" t="s">
        <v>129</v>
      </c>
      <c r="B109" s="2">
        <v>23</v>
      </c>
      <c r="C109" s="2" t="s">
        <v>6</v>
      </c>
      <c r="D109" s="2">
        <v>2</v>
      </c>
      <c r="E109" s="2" t="str">
        <f t="shared" si="1"/>
        <v>Negative</v>
      </c>
      <c r="F109" s="3" t="s">
        <v>46</v>
      </c>
    </row>
    <row r="110" spans="1:6">
      <c r="A110" s="1" t="s">
        <v>130</v>
      </c>
      <c r="B110" s="2">
        <v>52</v>
      </c>
      <c r="C110" s="2" t="s">
        <v>6</v>
      </c>
      <c r="D110" s="2">
        <v>3</v>
      </c>
      <c r="E110" s="2" t="str">
        <f t="shared" si="1"/>
        <v>Neutral</v>
      </c>
      <c r="F110" s="3" t="s">
        <v>37</v>
      </c>
    </row>
    <row r="111" spans="1:6">
      <c r="A111" s="1" t="s">
        <v>131</v>
      </c>
      <c r="B111" s="2">
        <v>48</v>
      </c>
      <c r="C111" s="2" t="s">
        <v>6</v>
      </c>
      <c r="D111" s="2">
        <v>1</v>
      </c>
      <c r="E111" s="2" t="str">
        <f t="shared" si="1"/>
        <v>Negative</v>
      </c>
      <c r="F111" s="3" t="s">
        <v>27</v>
      </c>
    </row>
    <row r="112" spans="1:6">
      <c r="A112" s="1" t="s">
        <v>132</v>
      </c>
      <c r="B112" s="2">
        <v>46</v>
      </c>
      <c r="C112" s="2" t="s">
        <v>11</v>
      </c>
      <c r="D112" s="2">
        <v>5</v>
      </c>
      <c r="E112" s="2" t="str">
        <f t="shared" si="1"/>
        <v>Positive</v>
      </c>
      <c r="F112" s="3" t="s">
        <v>53</v>
      </c>
    </row>
    <row r="113" spans="1:6">
      <c r="A113" s="1" t="s">
        <v>133</v>
      </c>
      <c r="B113" s="2">
        <v>34</v>
      </c>
      <c r="C113" s="2" t="s">
        <v>11</v>
      </c>
      <c r="D113" s="2">
        <v>2</v>
      </c>
      <c r="E113" s="2" t="str">
        <f t="shared" si="1"/>
        <v>Negative</v>
      </c>
      <c r="F113" s="3" t="s">
        <v>46</v>
      </c>
    </row>
    <row r="114" spans="1:6">
      <c r="A114" s="1" t="s">
        <v>134</v>
      </c>
      <c r="B114" s="2">
        <v>35</v>
      </c>
      <c r="C114" s="2" t="s">
        <v>11</v>
      </c>
      <c r="D114" s="2">
        <v>2</v>
      </c>
      <c r="E114" s="2" t="str">
        <f t="shared" si="1"/>
        <v>Negative</v>
      </c>
      <c r="F114" s="3" t="s">
        <v>46</v>
      </c>
    </row>
    <row r="115" spans="1:6">
      <c r="A115" s="1" t="s">
        <v>135</v>
      </c>
      <c r="B115" s="2">
        <v>53</v>
      </c>
      <c r="C115" s="2" t="s">
        <v>11</v>
      </c>
      <c r="D115" s="2">
        <v>3</v>
      </c>
      <c r="E115" s="2" t="str">
        <f t="shared" si="1"/>
        <v>Neutral</v>
      </c>
      <c r="F115" s="3" t="s">
        <v>59</v>
      </c>
    </row>
    <row r="116" spans="1:6">
      <c r="A116" s="1" t="s">
        <v>136</v>
      </c>
      <c r="B116" s="2">
        <v>22</v>
      </c>
      <c r="C116" s="2" t="s">
        <v>11</v>
      </c>
      <c r="D116" s="2">
        <v>2</v>
      </c>
      <c r="E116" s="2" t="str">
        <f t="shared" si="1"/>
        <v>Negative</v>
      </c>
      <c r="F116" s="3" t="s">
        <v>12</v>
      </c>
    </row>
    <row r="117" spans="1:6">
      <c r="A117" s="1" t="s">
        <v>137</v>
      </c>
      <c r="B117" s="2">
        <v>62</v>
      </c>
      <c r="C117" s="2" t="s">
        <v>6</v>
      </c>
      <c r="D117" s="2">
        <v>4</v>
      </c>
      <c r="E117" s="2" t="str">
        <f t="shared" si="1"/>
        <v>Positive</v>
      </c>
      <c r="F117" s="3" t="s">
        <v>9</v>
      </c>
    </row>
    <row r="118" spans="1:6">
      <c r="A118" s="1" t="s">
        <v>138</v>
      </c>
      <c r="B118" s="2">
        <v>48</v>
      </c>
      <c r="C118" s="2" t="s">
        <v>11</v>
      </c>
      <c r="D118" s="2">
        <v>3</v>
      </c>
      <c r="E118" s="2" t="str">
        <f t="shared" si="1"/>
        <v>Neutral</v>
      </c>
      <c r="F118" s="3" t="s">
        <v>50</v>
      </c>
    </row>
    <row r="119" spans="1:6">
      <c r="A119" s="1" t="s">
        <v>139</v>
      </c>
      <c r="B119" s="2">
        <v>57</v>
      </c>
      <c r="C119" s="2" t="s">
        <v>6</v>
      </c>
      <c r="D119" s="2">
        <v>1</v>
      </c>
      <c r="E119" s="2" t="str">
        <f t="shared" si="1"/>
        <v>Negative</v>
      </c>
      <c r="F119" s="3" t="s">
        <v>27</v>
      </c>
    </row>
    <row r="120" spans="1:6">
      <c r="A120" s="1" t="s">
        <v>140</v>
      </c>
      <c r="B120" s="2">
        <v>22</v>
      </c>
      <c r="C120" s="2" t="s">
        <v>11</v>
      </c>
      <c r="D120" s="2">
        <v>3</v>
      </c>
      <c r="E120" s="2" t="str">
        <f t="shared" si="1"/>
        <v>Neutral</v>
      </c>
      <c r="F120" s="3" t="s">
        <v>59</v>
      </c>
    </row>
    <row r="121" spans="1:6">
      <c r="A121" s="1" t="s">
        <v>141</v>
      </c>
      <c r="B121" s="2">
        <v>46</v>
      </c>
      <c r="C121" s="2" t="s">
        <v>11</v>
      </c>
      <c r="D121" s="2">
        <v>1</v>
      </c>
      <c r="E121" s="2" t="str">
        <f t="shared" si="1"/>
        <v>Negative</v>
      </c>
      <c r="F121" s="3" t="s">
        <v>46</v>
      </c>
    </row>
    <row r="122" spans="1:6">
      <c r="A122" s="1" t="s">
        <v>142</v>
      </c>
      <c r="B122" s="2">
        <v>60</v>
      </c>
      <c r="C122" s="2" t="s">
        <v>6</v>
      </c>
      <c r="D122" s="2">
        <v>5</v>
      </c>
      <c r="E122" s="2" t="str">
        <f t="shared" si="1"/>
        <v>Positive</v>
      </c>
      <c r="F122" s="3" t="s">
        <v>53</v>
      </c>
    </row>
    <row r="123" spans="1:6">
      <c r="A123" s="1" t="s">
        <v>143</v>
      </c>
      <c r="B123" s="2">
        <v>49</v>
      </c>
      <c r="C123" s="2" t="s">
        <v>11</v>
      </c>
      <c r="D123" s="2">
        <v>2</v>
      </c>
      <c r="E123" s="2" t="str">
        <f t="shared" si="1"/>
        <v>Negative</v>
      </c>
      <c r="F123" s="3" t="s">
        <v>27</v>
      </c>
    </row>
    <row r="124" spans="1:6">
      <c r="A124" s="1" t="s">
        <v>144</v>
      </c>
      <c r="B124" s="2">
        <v>63</v>
      </c>
      <c r="C124" s="2" t="s">
        <v>6</v>
      </c>
      <c r="D124" s="2">
        <v>2</v>
      </c>
      <c r="E124" s="2" t="str">
        <f t="shared" si="1"/>
        <v>Negative</v>
      </c>
      <c r="F124" s="3" t="s">
        <v>29</v>
      </c>
    </row>
    <row r="125" spans="1:6">
      <c r="A125" s="1" t="s">
        <v>145</v>
      </c>
      <c r="B125" s="2">
        <v>55</v>
      </c>
      <c r="C125" s="2" t="s">
        <v>6</v>
      </c>
      <c r="D125" s="2">
        <v>5</v>
      </c>
      <c r="E125" s="2" t="str">
        <f t="shared" si="1"/>
        <v>Positive</v>
      </c>
      <c r="F125" s="3" t="s">
        <v>22</v>
      </c>
    </row>
    <row r="126" spans="1:6">
      <c r="A126" s="1" t="s">
        <v>146</v>
      </c>
      <c r="B126" s="2">
        <v>24</v>
      </c>
      <c r="C126" s="2" t="s">
        <v>11</v>
      </c>
      <c r="D126" s="2">
        <v>5</v>
      </c>
      <c r="E126" s="2" t="str">
        <f t="shared" si="1"/>
        <v>Positive</v>
      </c>
      <c r="F126" s="3" t="s">
        <v>22</v>
      </c>
    </row>
    <row r="127" spans="1:6">
      <c r="A127" s="1" t="s">
        <v>147</v>
      </c>
      <c r="B127" s="2">
        <v>53</v>
      </c>
      <c r="C127" s="2" t="s">
        <v>6</v>
      </c>
      <c r="D127" s="2">
        <v>5</v>
      </c>
      <c r="E127" s="2" t="str">
        <f t="shared" si="1"/>
        <v>Positive</v>
      </c>
      <c r="F127" s="3" t="s">
        <v>9</v>
      </c>
    </row>
    <row r="128" spans="1:6">
      <c r="A128" s="1" t="s">
        <v>148</v>
      </c>
      <c r="B128" s="2">
        <v>20</v>
      </c>
      <c r="C128" s="2" t="s">
        <v>6</v>
      </c>
      <c r="D128" s="2">
        <v>2</v>
      </c>
      <c r="E128" s="2" t="str">
        <f t="shared" si="1"/>
        <v>Negative</v>
      </c>
      <c r="F128" s="3" t="s">
        <v>27</v>
      </c>
    </row>
    <row r="129" spans="1:6">
      <c r="A129" s="1" t="s">
        <v>149</v>
      </c>
      <c r="B129" s="2">
        <v>25</v>
      </c>
      <c r="C129" s="2" t="s">
        <v>6</v>
      </c>
      <c r="D129" s="2">
        <v>2</v>
      </c>
      <c r="E129" s="2" t="str">
        <f t="shared" si="1"/>
        <v>Negative</v>
      </c>
      <c r="F129" s="3" t="s">
        <v>46</v>
      </c>
    </row>
    <row r="130" spans="1:6">
      <c r="A130" s="1" t="s">
        <v>150</v>
      </c>
      <c r="B130" s="2">
        <v>57</v>
      </c>
      <c r="C130" s="2" t="s">
        <v>11</v>
      </c>
      <c r="D130" s="2">
        <v>3</v>
      </c>
      <c r="E130" s="2" t="str">
        <f t="shared" si="1"/>
        <v>Neutral</v>
      </c>
      <c r="F130" s="3" t="s">
        <v>37</v>
      </c>
    </row>
    <row r="131" spans="1:6">
      <c r="A131" s="1" t="s">
        <v>151</v>
      </c>
      <c r="B131" s="2">
        <v>36</v>
      </c>
      <c r="C131" s="2" t="s">
        <v>6</v>
      </c>
      <c r="D131" s="2">
        <v>2</v>
      </c>
      <c r="E131" s="2" t="str">
        <f t="shared" ref="E131:E194" si="2">IF(D131&gt;=4,"Positive",IF(D131=3,"Neutral","Negative"))</f>
        <v>Negative</v>
      </c>
      <c r="F131" s="3" t="s">
        <v>46</v>
      </c>
    </row>
    <row r="132" spans="1:6">
      <c r="A132" s="1" t="s">
        <v>152</v>
      </c>
      <c r="B132" s="2">
        <v>44</v>
      </c>
      <c r="C132" s="2" t="s">
        <v>11</v>
      </c>
      <c r="D132" s="2">
        <v>4</v>
      </c>
      <c r="E132" s="2" t="str">
        <f t="shared" si="2"/>
        <v>Positive</v>
      </c>
      <c r="F132" s="3" t="s">
        <v>53</v>
      </c>
    </row>
    <row r="133" spans="1:6">
      <c r="A133" s="1" t="s">
        <v>153</v>
      </c>
      <c r="B133" s="2">
        <v>34</v>
      </c>
      <c r="C133" s="2" t="s">
        <v>6</v>
      </c>
      <c r="D133" s="2">
        <v>5</v>
      </c>
      <c r="E133" s="2" t="str">
        <f t="shared" si="2"/>
        <v>Positive</v>
      </c>
      <c r="F133" s="3" t="s">
        <v>16</v>
      </c>
    </row>
    <row r="134" spans="1:6">
      <c r="A134" s="1" t="s">
        <v>154</v>
      </c>
      <c r="B134" s="2">
        <v>31</v>
      </c>
      <c r="C134" s="2" t="s">
        <v>6</v>
      </c>
      <c r="D134" s="2">
        <v>2</v>
      </c>
      <c r="E134" s="2" t="str">
        <f t="shared" si="2"/>
        <v>Negative</v>
      </c>
      <c r="F134" s="3" t="s">
        <v>12</v>
      </c>
    </row>
    <row r="135" spans="1:6">
      <c r="A135" s="1" t="s">
        <v>155</v>
      </c>
      <c r="B135" s="2">
        <v>21</v>
      </c>
      <c r="C135" s="2" t="s">
        <v>11</v>
      </c>
      <c r="D135" s="2">
        <v>5</v>
      </c>
      <c r="E135" s="2" t="str">
        <f t="shared" si="2"/>
        <v>Positive</v>
      </c>
      <c r="F135" s="3" t="s">
        <v>16</v>
      </c>
    </row>
    <row r="136" spans="1:6">
      <c r="A136" s="1" t="s">
        <v>156</v>
      </c>
      <c r="B136" s="2">
        <v>33</v>
      </c>
      <c r="C136" s="2" t="s">
        <v>11</v>
      </c>
      <c r="D136" s="2">
        <v>1</v>
      </c>
      <c r="E136" s="2" t="str">
        <f t="shared" si="2"/>
        <v>Negative</v>
      </c>
      <c r="F136" s="3" t="s">
        <v>12</v>
      </c>
    </row>
    <row r="137" spans="1:6">
      <c r="A137" s="1" t="s">
        <v>157</v>
      </c>
      <c r="B137" s="2">
        <v>26</v>
      </c>
      <c r="C137" s="2" t="s">
        <v>6</v>
      </c>
      <c r="D137" s="2">
        <v>4</v>
      </c>
      <c r="E137" s="2" t="str">
        <f t="shared" si="2"/>
        <v>Positive</v>
      </c>
      <c r="F137" s="3" t="s">
        <v>14</v>
      </c>
    </row>
    <row r="138" spans="1:6">
      <c r="A138" s="1" t="s">
        <v>158</v>
      </c>
      <c r="B138" s="2">
        <v>42</v>
      </c>
      <c r="C138" s="2" t="s">
        <v>11</v>
      </c>
      <c r="D138" s="2">
        <v>2</v>
      </c>
      <c r="E138" s="2" t="str">
        <f t="shared" si="2"/>
        <v>Negative</v>
      </c>
      <c r="F138" s="3" t="s">
        <v>27</v>
      </c>
    </row>
    <row r="139" spans="1:6">
      <c r="A139" s="1" t="s">
        <v>159</v>
      </c>
      <c r="B139" s="2">
        <v>55</v>
      </c>
      <c r="C139" s="2" t="s">
        <v>6</v>
      </c>
      <c r="D139" s="2">
        <v>1</v>
      </c>
      <c r="E139" s="2" t="str">
        <f t="shared" si="2"/>
        <v>Negative</v>
      </c>
      <c r="F139" s="3" t="s">
        <v>12</v>
      </c>
    </row>
    <row r="140" spans="1:6">
      <c r="A140" s="1" t="s">
        <v>160</v>
      </c>
      <c r="B140" s="2">
        <v>64</v>
      </c>
      <c r="C140" s="2" t="s">
        <v>6</v>
      </c>
      <c r="D140" s="2">
        <v>2</v>
      </c>
      <c r="E140" s="2" t="str">
        <f t="shared" si="2"/>
        <v>Negative</v>
      </c>
      <c r="F140" s="3" t="s">
        <v>12</v>
      </c>
    </row>
    <row r="141" spans="1:6">
      <c r="A141" s="1" t="s">
        <v>161</v>
      </c>
      <c r="B141" s="2">
        <v>28</v>
      </c>
      <c r="C141" s="2" t="s">
        <v>11</v>
      </c>
      <c r="D141" s="2">
        <v>2</v>
      </c>
      <c r="E141" s="2" t="str">
        <f t="shared" si="2"/>
        <v>Negative</v>
      </c>
      <c r="F141" s="3" t="s">
        <v>46</v>
      </c>
    </row>
    <row r="142" spans="1:6">
      <c r="A142" s="1" t="s">
        <v>162</v>
      </c>
      <c r="B142" s="2">
        <v>34</v>
      </c>
      <c r="C142" s="2" t="s">
        <v>11</v>
      </c>
      <c r="D142" s="2">
        <v>3</v>
      </c>
      <c r="E142" s="2" t="str">
        <f t="shared" si="2"/>
        <v>Neutral</v>
      </c>
      <c r="F142" s="3" t="s">
        <v>59</v>
      </c>
    </row>
    <row r="143" spans="1:6">
      <c r="A143" s="1" t="s">
        <v>163</v>
      </c>
      <c r="B143" s="2">
        <v>49</v>
      </c>
      <c r="C143" s="2" t="s">
        <v>11</v>
      </c>
      <c r="D143" s="2">
        <v>5</v>
      </c>
      <c r="E143" s="2" t="str">
        <f t="shared" si="2"/>
        <v>Positive</v>
      </c>
      <c r="F143" s="3" t="s">
        <v>14</v>
      </c>
    </row>
    <row r="144" spans="1:6">
      <c r="A144" s="1" t="s">
        <v>164</v>
      </c>
      <c r="B144" s="2">
        <v>26</v>
      </c>
      <c r="C144" s="2" t="s">
        <v>11</v>
      </c>
      <c r="D144" s="2">
        <v>1</v>
      </c>
      <c r="E144" s="2" t="str">
        <f t="shared" si="2"/>
        <v>Negative</v>
      </c>
      <c r="F144" s="3" t="s">
        <v>46</v>
      </c>
    </row>
    <row r="145" spans="1:6">
      <c r="A145" s="1" t="s">
        <v>165</v>
      </c>
      <c r="B145" s="2">
        <v>44</v>
      </c>
      <c r="C145" s="2" t="s">
        <v>11</v>
      </c>
      <c r="D145" s="2">
        <v>1</v>
      </c>
      <c r="E145" s="2" t="str">
        <f t="shared" si="2"/>
        <v>Negative</v>
      </c>
      <c r="F145" s="3" t="s">
        <v>27</v>
      </c>
    </row>
    <row r="146" spans="1:6">
      <c r="A146" s="1" t="s">
        <v>166</v>
      </c>
      <c r="B146" s="2">
        <v>50</v>
      </c>
      <c r="C146" s="2" t="s">
        <v>11</v>
      </c>
      <c r="D146" s="2">
        <v>4</v>
      </c>
      <c r="E146" s="2" t="str">
        <f t="shared" si="2"/>
        <v>Positive</v>
      </c>
      <c r="F146" s="3" t="s">
        <v>14</v>
      </c>
    </row>
    <row r="147" spans="1:6">
      <c r="A147" s="1" t="s">
        <v>167</v>
      </c>
      <c r="B147" s="2">
        <v>61</v>
      </c>
      <c r="C147" s="2" t="s">
        <v>6</v>
      </c>
      <c r="D147" s="2">
        <v>2</v>
      </c>
      <c r="E147" s="2" t="str">
        <f t="shared" si="2"/>
        <v>Negative</v>
      </c>
      <c r="F147" s="3" t="s">
        <v>46</v>
      </c>
    </row>
    <row r="148" spans="1:6">
      <c r="A148" s="1" t="s">
        <v>168</v>
      </c>
      <c r="B148" s="2">
        <v>59</v>
      </c>
      <c r="C148" s="2" t="s">
        <v>11</v>
      </c>
      <c r="D148" s="2">
        <v>5</v>
      </c>
      <c r="E148" s="2" t="str">
        <f t="shared" si="2"/>
        <v>Positive</v>
      </c>
      <c r="F148" s="3" t="s">
        <v>14</v>
      </c>
    </row>
    <row r="149" spans="1:6">
      <c r="A149" s="1" t="s">
        <v>169</v>
      </c>
      <c r="B149" s="2">
        <v>24</v>
      </c>
      <c r="C149" s="2" t="s">
        <v>11</v>
      </c>
      <c r="D149" s="2">
        <v>1</v>
      </c>
      <c r="E149" s="2" t="str">
        <f t="shared" si="2"/>
        <v>Negative</v>
      </c>
      <c r="F149" s="3" t="s">
        <v>12</v>
      </c>
    </row>
    <row r="150" spans="1:6">
      <c r="A150" s="1" t="s">
        <v>170</v>
      </c>
      <c r="B150" s="2">
        <v>40</v>
      </c>
      <c r="C150" s="2" t="s">
        <v>11</v>
      </c>
      <c r="D150" s="2">
        <v>5</v>
      </c>
      <c r="E150" s="2" t="str">
        <f t="shared" si="2"/>
        <v>Positive</v>
      </c>
      <c r="F150" s="3" t="s">
        <v>22</v>
      </c>
    </row>
    <row r="151" spans="1:6">
      <c r="A151" s="1" t="s">
        <v>171</v>
      </c>
      <c r="B151" s="2">
        <v>56</v>
      </c>
      <c r="C151" s="2" t="s">
        <v>6</v>
      </c>
      <c r="D151" s="2">
        <v>2</v>
      </c>
      <c r="E151" s="2" t="str">
        <f t="shared" si="2"/>
        <v>Negative</v>
      </c>
      <c r="F151" s="3" t="s">
        <v>25</v>
      </c>
    </row>
    <row r="152" spans="1:6">
      <c r="A152" s="1" t="s">
        <v>172</v>
      </c>
      <c r="B152" s="2">
        <v>63</v>
      </c>
      <c r="C152" s="2" t="s">
        <v>6</v>
      </c>
      <c r="D152" s="2">
        <v>3</v>
      </c>
      <c r="E152" s="2" t="str">
        <f t="shared" si="2"/>
        <v>Neutral</v>
      </c>
      <c r="F152" s="3" t="s">
        <v>50</v>
      </c>
    </row>
    <row r="153" spans="1:6">
      <c r="A153" s="1" t="s">
        <v>173</v>
      </c>
      <c r="B153" s="2">
        <v>27</v>
      </c>
      <c r="C153" s="2" t="s">
        <v>11</v>
      </c>
      <c r="D153" s="2">
        <v>2</v>
      </c>
      <c r="E153" s="2" t="str">
        <f t="shared" si="2"/>
        <v>Negative</v>
      </c>
      <c r="F153" s="3" t="s">
        <v>25</v>
      </c>
    </row>
    <row r="154" spans="1:6">
      <c r="A154" s="1" t="s">
        <v>174</v>
      </c>
      <c r="B154" s="2">
        <v>30</v>
      </c>
      <c r="C154" s="2" t="s">
        <v>6</v>
      </c>
      <c r="D154" s="2">
        <v>5</v>
      </c>
      <c r="E154" s="2" t="str">
        <f t="shared" si="2"/>
        <v>Positive</v>
      </c>
      <c r="F154" s="3" t="s">
        <v>16</v>
      </c>
    </row>
    <row r="155" spans="1:6">
      <c r="A155" s="1" t="s">
        <v>175</v>
      </c>
      <c r="B155" s="2">
        <v>22</v>
      </c>
      <c r="C155" s="2" t="s">
        <v>6</v>
      </c>
      <c r="D155" s="2">
        <v>4</v>
      </c>
      <c r="E155" s="2" t="str">
        <f t="shared" si="2"/>
        <v>Positive</v>
      </c>
      <c r="F155" s="3" t="s">
        <v>16</v>
      </c>
    </row>
    <row r="156" spans="1:6">
      <c r="A156" s="1" t="s">
        <v>176</v>
      </c>
      <c r="B156" s="2">
        <v>54</v>
      </c>
      <c r="C156" s="2" t="s">
        <v>6</v>
      </c>
      <c r="D156" s="2">
        <v>2</v>
      </c>
      <c r="E156" s="2" t="str">
        <f t="shared" si="2"/>
        <v>Negative</v>
      </c>
      <c r="F156" s="3" t="s">
        <v>46</v>
      </c>
    </row>
    <row r="157" spans="1:6">
      <c r="A157" s="1" t="s">
        <v>177</v>
      </c>
      <c r="B157" s="2">
        <v>65</v>
      </c>
      <c r="C157" s="2" t="s">
        <v>11</v>
      </c>
      <c r="D157" s="2">
        <v>5</v>
      </c>
      <c r="E157" s="2" t="str">
        <f t="shared" si="2"/>
        <v>Positive</v>
      </c>
      <c r="F157" s="3" t="s">
        <v>53</v>
      </c>
    </row>
    <row r="158" spans="1:6">
      <c r="A158" s="1" t="s">
        <v>178</v>
      </c>
      <c r="B158" s="2">
        <v>43</v>
      </c>
      <c r="C158" s="2" t="s">
        <v>11</v>
      </c>
      <c r="D158" s="2">
        <v>1</v>
      </c>
      <c r="E158" s="2" t="str">
        <f t="shared" si="2"/>
        <v>Negative</v>
      </c>
      <c r="F158" s="3" t="s">
        <v>46</v>
      </c>
    </row>
    <row r="159" spans="1:6">
      <c r="A159" s="1" t="s">
        <v>179</v>
      </c>
      <c r="B159" s="2">
        <v>46</v>
      </c>
      <c r="C159" s="2" t="s">
        <v>11</v>
      </c>
      <c r="D159" s="2">
        <v>2</v>
      </c>
      <c r="E159" s="2" t="str">
        <f t="shared" si="2"/>
        <v>Negative</v>
      </c>
      <c r="F159" s="3" t="s">
        <v>12</v>
      </c>
    </row>
    <row r="160" spans="1:6">
      <c r="A160" s="1" t="s">
        <v>180</v>
      </c>
      <c r="B160" s="2">
        <v>20</v>
      </c>
      <c r="C160" s="2" t="s">
        <v>6</v>
      </c>
      <c r="D160" s="2">
        <v>3</v>
      </c>
      <c r="E160" s="2" t="str">
        <f t="shared" si="2"/>
        <v>Neutral</v>
      </c>
      <c r="F160" s="3" t="s">
        <v>59</v>
      </c>
    </row>
    <row r="161" spans="1:6">
      <c r="A161" s="1" t="s">
        <v>181</v>
      </c>
      <c r="B161" s="2">
        <v>26</v>
      </c>
      <c r="C161" s="2" t="s">
        <v>6</v>
      </c>
      <c r="D161" s="2">
        <v>5</v>
      </c>
      <c r="E161" s="2" t="str">
        <f t="shared" si="2"/>
        <v>Positive</v>
      </c>
      <c r="F161" s="3" t="s">
        <v>16</v>
      </c>
    </row>
    <row r="162" spans="1:6">
      <c r="A162" s="1" t="s">
        <v>182</v>
      </c>
      <c r="B162" s="2">
        <v>64</v>
      </c>
      <c r="C162" s="2" t="s">
        <v>6</v>
      </c>
      <c r="D162" s="2">
        <v>4</v>
      </c>
      <c r="E162" s="2" t="str">
        <f t="shared" si="2"/>
        <v>Positive</v>
      </c>
      <c r="F162" s="3" t="s">
        <v>53</v>
      </c>
    </row>
    <row r="163" spans="1:6">
      <c r="A163" s="1" t="s">
        <v>183</v>
      </c>
      <c r="B163" s="2">
        <v>36</v>
      </c>
      <c r="C163" s="2" t="s">
        <v>6</v>
      </c>
      <c r="D163" s="2">
        <v>2</v>
      </c>
      <c r="E163" s="2" t="str">
        <f t="shared" si="2"/>
        <v>Negative</v>
      </c>
      <c r="F163" s="3" t="s">
        <v>27</v>
      </c>
    </row>
    <row r="164" spans="1:6">
      <c r="A164" s="1" t="s">
        <v>184</v>
      </c>
      <c r="B164" s="2">
        <v>31</v>
      </c>
      <c r="C164" s="2" t="s">
        <v>6</v>
      </c>
      <c r="D164" s="2">
        <v>2</v>
      </c>
      <c r="E164" s="2" t="str">
        <f t="shared" si="2"/>
        <v>Negative</v>
      </c>
      <c r="F164" s="3" t="s">
        <v>25</v>
      </c>
    </row>
    <row r="165" spans="1:6">
      <c r="A165" s="1" t="s">
        <v>185</v>
      </c>
      <c r="B165" s="2">
        <v>43</v>
      </c>
      <c r="C165" s="2" t="s">
        <v>11</v>
      </c>
      <c r="D165" s="2">
        <v>4</v>
      </c>
      <c r="E165" s="2" t="str">
        <f t="shared" si="2"/>
        <v>Positive</v>
      </c>
      <c r="F165" s="3" t="s">
        <v>9</v>
      </c>
    </row>
    <row r="166" spans="1:6">
      <c r="A166" s="1" t="s">
        <v>186</v>
      </c>
      <c r="B166" s="2">
        <v>46</v>
      </c>
      <c r="C166" s="2" t="s">
        <v>6</v>
      </c>
      <c r="D166" s="2">
        <v>3</v>
      </c>
      <c r="E166" s="2" t="str">
        <f t="shared" si="2"/>
        <v>Neutral</v>
      </c>
      <c r="F166" s="3" t="s">
        <v>7</v>
      </c>
    </row>
    <row r="167" spans="1:6">
      <c r="A167" s="1" t="s">
        <v>187</v>
      </c>
      <c r="B167" s="2">
        <v>49</v>
      </c>
      <c r="C167" s="2" t="s">
        <v>6</v>
      </c>
      <c r="D167" s="2">
        <v>2</v>
      </c>
      <c r="E167" s="2" t="str">
        <f t="shared" si="2"/>
        <v>Negative</v>
      </c>
      <c r="F167" s="3" t="s">
        <v>25</v>
      </c>
    </row>
    <row r="168" spans="1:6">
      <c r="A168" s="1" t="s">
        <v>188</v>
      </c>
      <c r="B168" s="2">
        <v>43</v>
      </c>
      <c r="C168" s="2" t="s">
        <v>11</v>
      </c>
      <c r="D168" s="2">
        <v>4</v>
      </c>
      <c r="E168" s="2" t="str">
        <f t="shared" si="2"/>
        <v>Positive</v>
      </c>
      <c r="F168" s="3" t="s">
        <v>14</v>
      </c>
    </row>
    <row r="169" spans="1:6">
      <c r="A169" s="1" t="s">
        <v>189</v>
      </c>
      <c r="B169" s="2">
        <v>64</v>
      </c>
      <c r="C169" s="2" t="s">
        <v>6</v>
      </c>
      <c r="D169" s="2">
        <v>1</v>
      </c>
      <c r="E169" s="2" t="str">
        <f t="shared" si="2"/>
        <v>Negative</v>
      </c>
      <c r="F169" s="3" t="s">
        <v>12</v>
      </c>
    </row>
    <row r="170" spans="1:6">
      <c r="A170" s="1" t="s">
        <v>190</v>
      </c>
      <c r="B170" s="2">
        <v>49</v>
      </c>
      <c r="C170" s="2" t="s">
        <v>11</v>
      </c>
      <c r="D170" s="2">
        <v>1</v>
      </c>
      <c r="E170" s="2" t="str">
        <f t="shared" si="2"/>
        <v>Negative</v>
      </c>
      <c r="F170" s="3" t="s">
        <v>46</v>
      </c>
    </row>
    <row r="171" spans="1:6">
      <c r="A171" s="1" t="s">
        <v>191</v>
      </c>
      <c r="B171" s="2">
        <v>35</v>
      </c>
      <c r="C171" s="2" t="s">
        <v>6</v>
      </c>
      <c r="D171" s="2">
        <v>2</v>
      </c>
      <c r="E171" s="2" t="str">
        <f t="shared" si="2"/>
        <v>Negative</v>
      </c>
      <c r="F171" s="3" t="s">
        <v>25</v>
      </c>
    </row>
    <row r="172" spans="1:6">
      <c r="A172" s="1" t="s">
        <v>192</v>
      </c>
      <c r="B172" s="2">
        <v>24</v>
      </c>
      <c r="C172" s="2" t="s">
        <v>11</v>
      </c>
      <c r="D172" s="2">
        <v>1</v>
      </c>
      <c r="E172" s="2" t="str">
        <f t="shared" si="2"/>
        <v>Negative</v>
      </c>
      <c r="F172" s="3" t="s">
        <v>12</v>
      </c>
    </row>
    <row r="173" spans="1:6">
      <c r="A173" s="1" t="s">
        <v>193</v>
      </c>
      <c r="B173" s="2">
        <v>41</v>
      </c>
      <c r="C173" s="2" t="s">
        <v>6</v>
      </c>
      <c r="D173" s="2">
        <v>3</v>
      </c>
      <c r="E173" s="2" t="str">
        <f t="shared" si="2"/>
        <v>Neutral</v>
      </c>
      <c r="F173" s="3" t="s">
        <v>7</v>
      </c>
    </row>
    <row r="174" spans="1:6">
      <c r="A174" s="1" t="s">
        <v>194</v>
      </c>
      <c r="B174" s="2">
        <v>28</v>
      </c>
      <c r="C174" s="2" t="s">
        <v>11</v>
      </c>
      <c r="D174" s="2">
        <v>3</v>
      </c>
      <c r="E174" s="2" t="str">
        <f t="shared" si="2"/>
        <v>Neutral</v>
      </c>
      <c r="F174" s="3" t="s">
        <v>59</v>
      </c>
    </row>
    <row r="175" spans="1:6">
      <c r="A175" s="1" t="s">
        <v>195</v>
      </c>
      <c r="B175" s="2">
        <v>39</v>
      </c>
      <c r="C175" s="2" t="s">
        <v>6</v>
      </c>
      <c r="D175" s="2">
        <v>4</v>
      </c>
      <c r="E175" s="2" t="str">
        <f t="shared" si="2"/>
        <v>Positive</v>
      </c>
      <c r="F175" s="3" t="s">
        <v>14</v>
      </c>
    </row>
    <row r="176" spans="1:6">
      <c r="A176" s="1" t="s">
        <v>196</v>
      </c>
      <c r="B176" s="2">
        <v>51</v>
      </c>
      <c r="C176" s="2" t="s">
        <v>6</v>
      </c>
      <c r="D176" s="2">
        <v>3</v>
      </c>
      <c r="E176" s="2" t="str">
        <f t="shared" si="2"/>
        <v>Neutral</v>
      </c>
      <c r="F176" s="3" t="s">
        <v>7</v>
      </c>
    </row>
    <row r="177" spans="1:6">
      <c r="A177" s="1" t="s">
        <v>197</v>
      </c>
      <c r="B177" s="2">
        <v>61</v>
      </c>
      <c r="C177" s="2" t="s">
        <v>6</v>
      </c>
      <c r="D177" s="2">
        <v>4</v>
      </c>
      <c r="E177" s="2" t="str">
        <f t="shared" si="2"/>
        <v>Positive</v>
      </c>
      <c r="F177" s="3" t="s">
        <v>14</v>
      </c>
    </row>
    <row r="178" spans="1:6">
      <c r="A178" s="1" t="s">
        <v>198</v>
      </c>
      <c r="B178" s="2">
        <v>19</v>
      </c>
      <c r="C178" s="2" t="s">
        <v>11</v>
      </c>
      <c r="D178" s="2">
        <v>4</v>
      </c>
      <c r="E178" s="2" t="str">
        <f t="shared" si="2"/>
        <v>Positive</v>
      </c>
      <c r="F178" s="3" t="s">
        <v>14</v>
      </c>
    </row>
    <row r="179" spans="1:6">
      <c r="A179" s="1" t="s">
        <v>199</v>
      </c>
      <c r="B179" s="2">
        <v>60</v>
      </c>
      <c r="C179" s="2" t="s">
        <v>11</v>
      </c>
      <c r="D179" s="2">
        <v>4</v>
      </c>
      <c r="E179" s="2" t="str">
        <f t="shared" si="2"/>
        <v>Positive</v>
      </c>
      <c r="F179" s="3" t="s">
        <v>22</v>
      </c>
    </row>
    <row r="180" spans="1:6">
      <c r="A180" s="1" t="s">
        <v>200</v>
      </c>
      <c r="B180" s="2">
        <v>19</v>
      </c>
      <c r="C180" s="2" t="s">
        <v>11</v>
      </c>
      <c r="D180" s="2">
        <v>1</v>
      </c>
      <c r="E180" s="2" t="str">
        <f t="shared" si="2"/>
        <v>Negative</v>
      </c>
      <c r="F180" s="3" t="s">
        <v>29</v>
      </c>
    </row>
    <row r="181" spans="1:6">
      <c r="A181" s="1" t="s">
        <v>201</v>
      </c>
      <c r="B181" s="2">
        <v>63</v>
      </c>
      <c r="C181" s="2" t="s">
        <v>11</v>
      </c>
      <c r="D181" s="2">
        <v>1</v>
      </c>
      <c r="E181" s="2" t="str">
        <f t="shared" si="2"/>
        <v>Negative</v>
      </c>
      <c r="F181" s="3" t="s">
        <v>27</v>
      </c>
    </row>
    <row r="182" spans="1:6">
      <c r="A182" s="1" t="s">
        <v>202</v>
      </c>
      <c r="B182" s="2">
        <v>22</v>
      </c>
      <c r="C182" s="2" t="s">
        <v>6</v>
      </c>
      <c r="D182" s="2">
        <v>5</v>
      </c>
      <c r="E182" s="2" t="str">
        <f t="shared" si="2"/>
        <v>Positive</v>
      </c>
      <c r="F182" s="3" t="s">
        <v>9</v>
      </c>
    </row>
    <row r="183" spans="1:6">
      <c r="A183" s="1" t="s">
        <v>203</v>
      </c>
      <c r="B183" s="2">
        <v>34</v>
      </c>
      <c r="C183" s="2" t="s">
        <v>11</v>
      </c>
      <c r="D183" s="2">
        <v>5</v>
      </c>
      <c r="E183" s="2" t="str">
        <f t="shared" si="2"/>
        <v>Positive</v>
      </c>
      <c r="F183" s="3" t="s">
        <v>22</v>
      </c>
    </row>
    <row r="184" spans="1:6">
      <c r="A184" s="1" t="s">
        <v>204</v>
      </c>
      <c r="B184" s="2">
        <v>27</v>
      </c>
      <c r="C184" s="2" t="s">
        <v>11</v>
      </c>
      <c r="D184" s="2">
        <v>2</v>
      </c>
      <c r="E184" s="2" t="str">
        <f t="shared" si="2"/>
        <v>Negative</v>
      </c>
      <c r="F184" s="3" t="s">
        <v>27</v>
      </c>
    </row>
    <row r="185" spans="1:6">
      <c r="A185" s="1" t="s">
        <v>205</v>
      </c>
      <c r="B185" s="2">
        <v>24</v>
      </c>
      <c r="C185" s="2" t="s">
        <v>11</v>
      </c>
      <c r="D185" s="2">
        <v>5</v>
      </c>
      <c r="E185" s="2" t="str">
        <f t="shared" si="2"/>
        <v>Positive</v>
      </c>
      <c r="F185" s="3" t="s">
        <v>22</v>
      </c>
    </row>
    <row r="186" spans="1:6">
      <c r="A186" s="1" t="s">
        <v>206</v>
      </c>
      <c r="B186" s="2">
        <v>56</v>
      </c>
      <c r="C186" s="2" t="s">
        <v>6</v>
      </c>
      <c r="D186" s="2">
        <v>1</v>
      </c>
      <c r="E186" s="2" t="str">
        <f t="shared" si="2"/>
        <v>Negative</v>
      </c>
      <c r="F186" s="3" t="s">
        <v>29</v>
      </c>
    </row>
    <row r="187" spans="1:6">
      <c r="A187" s="1" t="s">
        <v>207</v>
      </c>
      <c r="B187" s="2">
        <v>32</v>
      </c>
      <c r="C187" s="2" t="s">
        <v>6</v>
      </c>
      <c r="D187" s="2">
        <v>3</v>
      </c>
      <c r="E187" s="2" t="str">
        <f t="shared" si="2"/>
        <v>Neutral</v>
      </c>
      <c r="F187" s="3" t="s">
        <v>59</v>
      </c>
    </row>
    <row r="188" spans="1:6">
      <c r="A188" s="1" t="s">
        <v>208</v>
      </c>
      <c r="B188" s="2">
        <v>30</v>
      </c>
      <c r="C188" s="2" t="s">
        <v>11</v>
      </c>
      <c r="D188" s="2">
        <v>2</v>
      </c>
      <c r="E188" s="2" t="str">
        <f t="shared" si="2"/>
        <v>Negative</v>
      </c>
      <c r="F188" s="3" t="s">
        <v>25</v>
      </c>
    </row>
    <row r="189" spans="1:6">
      <c r="A189" s="1" t="s">
        <v>209</v>
      </c>
      <c r="B189" s="2">
        <v>56</v>
      </c>
      <c r="C189" s="2" t="s">
        <v>6</v>
      </c>
      <c r="D189" s="2">
        <v>1</v>
      </c>
      <c r="E189" s="2" t="str">
        <f t="shared" si="2"/>
        <v>Negative</v>
      </c>
      <c r="F189" s="3" t="s">
        <v>12</v>
      </c>
    </row>
    <row r="190" spans="1:6">
      <c r="A190" s="1" t="s">
        <v>210</v>
      </c>
      <c r="B190" s="2">
        <v>59</v>
      </c>
      <c r="C190" s="2" t="s">
        <v>11</v>
      </c>
      <c r="D190" s="2">
        <v>2</v>
      </c>
      <c r="E190" s="2" t="str">
        <f t="shared" si="2"/>
        <v>Negative</v>
      </c>
      <c r="F190" s="3" t="s">
        <v>29</v>
      </c>
    </row>
    <row r="191" spans="1:6">
      <c r="A191" s="1" t="s">
        <v>211</v>
      </c>
      <c r="B191" s="2">
        <v>38</v>
      </c>
      <c r="C191" s="2" t="s">
        <v>11</v>
      </c>
      <c r="D191" s="2">
        <v>3</v>
      </c>
      <c r="E191" s="2" t="str">
        <f t="shared" si="2"/>
        <v>Neutral</v>
      </c>
      <c r="F191" s="3" t="s">
        <v>20</v>
      </c>
    </row>
    <row r="192" spans="1:6">
      <c r="A192" s="1" t="s">
        <v>212</v>
      </c>
      <c r="B192" s="2">
        <v>61</v>
      </c>
      <c r="C192" s="2" t="s">
        <v>11</v>
      </c>
      <c r="D192" s="2">
        <v>3</v>
      </c>
      <c r="E192" s="2" t="str">
        <f t="shared" si="2"/>
        <v>Neutral</v>
      </c>
      <c r="F192" s="3" t="s">
        <v>50</v>
      </c>
    </row>
    <row r="193" spans="1:6">
      <c r="A193" s="1" t="s">
        <v>213</v>
      </c>
      <c r="B193" s="2">
        <v>47</v>
      </c>
      <c r="C193" s="2" t="s">
        <v>11</v>
      </c>
      <c r="D193" s="2">
        <v>4</v>
      </c>
      <c r="E193" s="2" t="str">
        <f t="shared" si="2"/>
        <v>Positive</v>
      </c>
      <c r="F193" s="3" t="s">
        <v>9</v>
      </c>
    </row>
    <row r="194" spans="1:6">
      <c r="A194" s="1" t="s">
        <v>214</v>
      </c>
      <c r="B194" s="2">
        <v>35</v>
      </c>
      <c r="C194" s="2" t="s">
        <v>11</v>
      </c>
      <c r="D194" s="2">
        <v>4</v>
      </c>
      <c r="E194" s="2" t="str">
        <f t="shared" si="2"/>
        <v>Positive</v>
      </c>
      <c r="F194" s="3" t="s">
        <v>9</v>
      </c>
    </row>
    <row r="195" spans="1:6">
      <c r="A195" s="1" t="s">
        <v>215</v>
      </c>
      <c r="B195" s="2">
        <v>52</v>
      </c>
      <c r="C195" s="2" t="s">
        <v>6</v>
      </c>
      <c r="D195" s="2">
        <v>5</v>
      </c>
      <c r="E195" s="2" t="str">
        <f t="shared" ref="E195:E258" si="3">IF(D195&gt;=4,"Positive",IF(D195=3,"Neutral","Negative"))</f>
        <v>Positive</v>
      </c>
      <c r="F195" s="3" t="s">
        <v>53</v>
      </c>
    </row>
    <row r="196" spans="1:6">
      <c r="A196" s="1" t="s">
        <v>216</v>
      </c>
      <c r="B196" s="2">
        <v>48</v>
      </c>
      <c r="C196" s="2" t="s">
        <v>11</v>
      </c>
      <c r="D196" s="2">
        <v>2</v>
      </c>
      <c r="E196" s="2" t="str">
        <f t="shared" si="3"/>
        <v>Negative</v>
      </c>
      <c r="F196" s="3" t="s">
        <v>25</v>
      </c>
    </row>
    <row r="197" spans="1:6">
      <c r="A197" s="1" t="s">
        <v>217</v>
      </c>
      <c r="B197" s="2">
        <v>24</v>
      </c>
      <c r="C197" s="2" t="s">
        <v>11</v>
      </c>
      <c r="D197" s="2">
        <v>5</v>
      </c>
      <c r="E197" s="2" t="str">
        <f t="shared" si="3"/>
        <v>Positive</v>
      </c>
      <c r="F197" s="3" t="s">
        <v>53</v>
      </c>
    </row>
    <row r="198" spans="1:6">
      <c r="A198" s="1" t="s">
        <v>218</v>
      </c>
      <c r="B198" s="2">
        <v>26</v>
      </c>
      <c r="C198" s="2" t="s">
        <v>11</v>
      </c>
      <c r="D198" s="2">
        <v>1</v>
      </c>
      <c r="E198" s="2" t="str">
        <f t="shared" si="3"/>
        <v>Negative</v>
      </c>
      <c r="F198" s="3" t="s">
        <v>12</v>
      </c>
    </row>
    <row r="199" spans="1:6">
      <c r="A199" s="1" t="s">
        <v>219</v>
      </c>
      <c r="B199" s="2">
        <v>42</v>
      </c>
      <c r="C199" s="2" t="s">
        <v>11</v>
      </c>
      <c r="D199" s="2">
        <v>4</v>
      </c>
      <c r="E199" s="2" t="str">
        <f t="shared" si="3"/>
        <v>Positive</v>
      </c>
      <c r="F199" s="3" t="s">
        <v>14</v>
      </c>
    </row>
    <row r="200" spans="1:6">
      <c r="A200" s="1" t="s">
        <v>220</v>
      </c>
      <c r="B200" s="2">
        <v>36</v>
      </c>
      <c r="C200" s="2" t="s">
        <v>11</v>
      </c>
      <c r="D200" s="2">
        <v>1</v>
      </c>
      <c r="E200" s="2" t="str">
        <f t="shared" si="3"/>
        <v>Negative</v>
      </c>
      <c r="F200" s="3" t="s">
        <v>12</v>
      </c>
    </row>
    <row r="201" spans="1:6">
      <c r="A201" s="1" t="s">
        <v>221</v>
      </c>
      <c r="B201" s="2">
        <v>49</v>
      </c>
      <c r="C201" s="2" t="s">
        <v>11</v>
      </c>
      <c r="D201" s="2">
        <v>1</v>
      </c>
      <c r="E201" s="2" t="str">
        <f t="shared" si="3"/>
        <v>Negative</v>
      </c>
      <c r="F201" s="3" t="s">
        <v>25</v>
      </c>
    </row>
    <row r="202" spans="1:6">
      <c r="A202" s="1" t="s">
        <v>222</v>
      </c>
      <c r="B202" s="2">
        <v>47</v>
      </c>
      <c r="C202" s="2" t="s">
        <v>6</v>
      </c>
      <c r="D202" s="2">
        <v>4</v>
      </c>
      <c r="E202" s="2" t="str">
        <f t="shared" si="3"/>
        <v>Positive</v>
      </c>
      <c r="F202" s="3" t="s">
        <v>14</v>
      </c>
    </row>
    <row r="203" spans="1:6">
      <c r="A203" s="1" t="s">
        <v>223</v>
      </c>
      <c r="B203" s="2">
        <v>34</v>
      </c>
      <c r="C203" s="2" t="s">
        <v>6</v>
      </c>
      <c r="D203" s="2">
        <v>5</v>
      </c>
      <c r="E203" s="2" t="str">
        <f t="shared" si="3"/>
        <v>Positive</v>
      </c>
      <c r="F203" s="3" t="s">
        <v>14</v>
      </c>
    </row>
    <row r="204" spans="1:6">
      <c r="A204" s="1" t="s">
        <v>224</v>
      </c>
      <c r="B204" s="2">
        <v>48</v>
      </c>
      <c r="C204" s="2" t="s">
        <v>11</v>
      </c>
      <c r="D204" s="2">
        <v>4</v>
      </c>
      <c r="E204" s="2" t="str">
        <f t="shared" si="3"/>
        <v>Positive</v>
      </c>
      <c r="F204" s="3" t="s">
        <v>16</v>
      </c>
    </row>
    <row r="205" spans="1:6">
      <c r="A205" s="1" t="s">
        <v>225</v>
      </c>
      <c r="B205" s="2">
        <v>62</v>
      </c>
      <c r="C205" s="2" t="s">
        <v>11</v>
      </c>
      <c r="D205" s="2">
        <v>3</v>
      </c>
      <c r="E205" s="2" t="str">
        <f t="shared" si="3"/>
        <v>Neutral</v>
      </c>
      <c r="F205" s="3" t="s">
        <v>50</v>
      </c>
    </row>
    <row r="206" spans="1:6">
      <c r="A206" s="1" t="s">
        <v>226</v>
      </c>
      <c r="B206" s="2">
        <v>43</v>
      </c>
      <c r="C206" s="2" t="s">
        <v>6</v>
      </c>
      <c r="D206" s="2">
        <v>4</v>
      </c>
      <c r="E206" s="2" t="str">
        <f t="shared" si="3"/>
        <v>Positive</v>
      </c>
      <c r="F206" s="3" t="s">
        <v>16</v>
      </c>
    </row>
    <row r="207" spans="1:6">
      <c r="A207" s="1" t="s">
        <v>227</v>
      </c>
      <c r="B207" s="2">
        <v>50</v>
      </c>
      <c r="C207" s="2" t="s">
        <v>6</v>
      </c>
      <c r="D207" s="2">
        <v>5</v>
      </c>
      <c r="E207" s="2" t="str">
        <f t="shared" si="3"/>
        <v>Positive</v>
      </c>
      <c r="F207" s="3" t="s">
        <v>14</v>
      </c>
    </row>
    <row r="208" spans="1:6">
      <c r="A208" s="1" t="s">
        <v>228</v>
      </c>
      <c r="B208" s="2">
        <v>38</v>
      </c>
      <c r="C208" s="2" t="s">
        <v>11</v>
      </c>
      <c r="D208" s="2">
        <v>2</v>
      </c>
      <c r="E208" s="2" t="str">
        <f t="shared" si="3"/>
        <v>Negative</v>
      </c>
      <c r="F208" s="3" t="s">
        <v>27</v>
      </c>
    </row>
    <row r="209" spans="1:6">
      <c r="A209" s="1" t="s">
        <v>229</v>
      </c>
      <c r="B209" s="2">
        <v>22</v>
      </c>
      <c r="C209" s="2" t="s">
        <v>11</v>
      </c>
      <c r="D209" s="2">
        <v>4</v>
      </c>
      <c r="E209" s="2" t="str">
        <f t="shared" si="3"/>
        <v>Positive</v>
      </c>
      <c r="F209" s="3" t="s">
        <v>16</v>
      </c>
    </row>
    <row r="210" spans="1:6">
      <c r="A210" s="1" t="s">
        <v>230</v>
      </c>
      <c r="B210" s="2">
        <v>26</v>
      </c>
      <c r="C210" s="2" t="s">
        <v>11</v>
      </c>
      <c r="D210" s="2">
        <v>4</v>
      </c>
      <c r="E210" s="2" t="str">
        <f t="shared" si="3"/>
        <v>Positive</v>
      </c>
      <c r="F210" s="3" t="s">
        <v>53</v>
      </c>
    </row>
    <row r="211" spans="1:6">
      <c r="A211" s="1" t="s">
        <v>231</v>
      </c>
      <c r="B211" s="2">
        <v>38</v>
      </c>
      <c r="C211" s="2" t="s">
        <v>11</v>
      </c>
      <c r="D211" s="2">
        <v>3</v>
      </c>
      <c r="E211" s="2" t="str">
        <f t="shared" si="3"/>
        <v>Neutral</v>
      </c>
      <c r="F211" s="3" t="s">
        <v>50</v>
      </c>
    </row>
    <row r="212" spans="1:6">
      <c r="A212" s="1" t="s">
        <v>232</v>
      </c>
      <c r="B212" s="2">
        <v>62</v>
      </c>
      <c r="C212" s="2" t="s">
        <v>11</v>
      </c>
      <c r="D212" s="2">
        <v>1</v>
      </c>
      <c r="E212" s="2" t="str">
        <f t="shared" si="3"/>
        <v>Negative</v>
      </c>
      <c r="F212" s="3" t="s">
        <v>27</v>
      </c>
    </row>
    <row r="213" spans="1:6">
      <c r="A213" s="1" t="s">
        <v>233</v>
      </c>
      <c r="B213" s="2">
        <v>42</v>
      </c>
      <c r="C213" s="2" t="s">
        <v>11</v>
      </c>
      <c r="D213" s="2">
        <v>2</v>
      </c>
      <c r="E213" s="2" t="str">
        <f t="shared" si="3"/>
        <v>Negative</v>
      </c>
      <c r="F213" s="3" t="s">
        <v>29</v>
      </c>
    </row>
    <row r="214" spans="1:6">
      <c r="A214" s="1" t="s">
        <v>234</v>
      </c>
      <c r="B214" s="2">
        <v>62</v>
      </c>
      <c r="C214" s="2" t="s">
        <v>6</v>
      </c>
      <c r="D214" s="2">
        <v>5</v>
      </c>
      <c r="E214" s="2" t="str">
        <f t="shared" si="3"/>
        <v>Positive</v>
      </c>
      <c r="F214" s="3" t="s">
        <v>14</v>
      </c>
    </row>
    <row r="215" spans="1:6">
      <c r="A215" s="1" t="s">
        <v>235</v>
      </c>
      <c r="B215" s="2">
        <v>37</v>
      </c>
      <c r="C215" s="2" t="s">
        <v>6</v>
      </c>
      <c r="D215" s="2">
        <v>4</v>
      </c>
      <c r="E215" s="2" t="str">
        <f t="shared" si="3"/>
        <v>Positive</v>
      </c>
      <c r="F215" s="3" t="s">
        <v>14</v>
      </c>
    </row>
    <row r="216" spans="1:6">
      <c r="A216" s="1" t="s">
        <v>236</v>
      </c>
      <c r="B216" s="2">
        <v>45</v>
      </c>
      <c r="C216" s="2" t="s">
        <v>6</v>
      </c>
      <c r="D216" s="2">
        <v>2</v>
      </c>
      <c r="E216" s="2" t="str">
        <f t="shared" si="3"/>
        <v>Negative</v>
      </c>
      <c r="F216" s="3" t="s">
        <v>46</v>
      </c>
    </row>
    <row r="217" spans="1:6">
      <c r="A217" s="1" t="s">
        <v>237</v>
      </c>
      <c r="B217" s="2">
        <v>44</v>
      </c>
      <c r="C217" s="2" t="s">
        <v>11</v>
      </c>
      <c r="D217" s="2">
        <v>5</v>
      </c>
      <c r="E217" s="2" t="str">
        <f t="shared" si="3"/>
        <v>Positive</v>
      </c>
      <c r="F217" s="3" t="s">
        <v>9</v>
      </c>
    </row>
    <row r="218" spans="1:6">
      <c r="A218" s="1" t="s">
        <v>238</v>
      </c>
      <c r="B218" s="2">
        <v>61</v>
      </c>
      <c r="C218" s="2" t="s">
        <v>6</v>
      </c>
      <c r="D218" s="2">
        <v>4</v>
      </c>
      <c r="E218" s="2" t="str">
        <f t="shared" si="3"/>
        <v>Positive</v>
      </c>
      <c r="F218" s="3" t="s">
        <v>9</v>
      </c>
    </row>
    <row r="219" spans="1:6">
      <c r="A219" s="1" t="s">
        <v>239</v>
      </c>
      <c r="B219" s="2">
        <v>34</v>
      </c>
      <c r="C219" s="2" t="s">
        <v>11</v>
      </c>
      <c r="D219" s="2">
        <v>4</v>
      </c>
      <c r="E219" s="2" t="str">
        <f t="shared" si="3"/>
        <v>Positive</v>
      </c>
      <c r="F219" s="3" t="s">
        <v>16</v>
      </c>
    </row>
    <row r="220" spans="1:6">
      <c r="A220" s="1" t="s">
        <v>240</v>
      </c>
      <c r="B220" s="2">
        <v>60</v>
      </c>
      <c r="C220" s="2" t="s">
        <v>6</v>
      </c>
      <c r="D220" s="2">
        <v>4</v>
      </c>
      <c r="E220" s="2" t="str">
        <f t="shared" si="3"/>
        <v>Positive</v>
      </c>
      <c r="F220" s="3" t="s">
        <v>16</v>
      </c>
    </row>
    <row r="221" spans="1:6">
      <c r="A221" s="1" t="s">
        <v>241</v>
      </c>
      <c r="B221" s="2">
        <v>24</v>
      </c>
      <c r="C221" s="2" t="s">
        <v>11</v>
      </c>
      <c r="D221" s="2">
        <v>4</v>
      </c>
      <c r="E221" s="2" t="str">
        <f t="shared" si="3"/>
        <v>Positive</v>
      </c>
      <c r="F221" s="3" t="s">
        <v>14</v>
      </c>
    </row>
    <row r="222" spans="1:6">
      <c r="A222" s="1" t="s">
        <v>242</v>
      </c>
      <c r="B222" s="2">
        <v>51</v>
      </c>
      <c r="C222" s="2" t="s">
        <v>11</v>
      </c>
      <c r="D222" s="2">
        <v>1</v>
      </c>
      <c r="E222" s="2" t="str">
        <f t="shared" si="3"/>
        <v>Negative</v>
      </c>
      <c r="F222" s="3" t="s">
        <v>25</v>
      </c>
    </row>
    <row r="223" spans="1:6">
      <c r="A223" s="1" t="s">
        <v>243</v>
      </c>
      <c r="B223" s="2">
        <v>59</v>
      </c>
      <c r="C223" s="2" t="s">
        <v>11</v>
      </c>
      <c r="D223" s="2">
        <v>4</v>
      </c>
      <c r="E223" s="2" t="str">
        <f t="shared" si="3"/>
        <v>Positive</v>
      </c>
      <c r="F223" s="3" t="s">
        <v>14</v>
      </c>
    </row>
    <row r="224" spans="1:6">
      <c r="A224" s="1" t="s">
        <v>244</v>
      </c>
      <c r="B224" s="2">
        <v>47</v>
      </c>
      <c r="C224" s="2" t="s">
        <v>11</v>
      </c>
      <c r="D224" s="2">
        <v>4</v>
      </c>
      <c r="E224" s="2" t="str">
        <f t="shared" si="3"/>
        <v>Positive</v>
      </c>
      <c r="F224" s="3" t="s">
        <v>9</v>
      </c>
    </row>
    <row r="225" spans="1:6">
      <c r="A225" s="1" t="s">
        <v>245</v>
      </c>
      <c r="B225" s="2">
        <v>43</v>
      </c>
      <c r="C225" s="2" t="s">
        <v>6</v>
      </c>
      <c r="D225" s="2">
        <v>2</v>
      </c>
      <c r="E225" s="2" t="str">
        <f t="shared" si="3"/>
        <v>Negative</v>
      </c>
      <c r="F225" s="3" t="s">
        <v>12</v>
      </c>
    </row>
    <row r="226" spans="1:6">
      <c r="A226" s="1" t="s">
        <v>246</v>
      </c>
      <c r="B226" s="2">
        <v>65</v>
      </c>
      <c r="C226" s="2" t="s">
        <v>11</v>
      </c>
      <c r="D226" s="2">
        <v>1</v>
      </c>
      <c r="E226" s="2" t="str">
        <f t="shared" si="3"/>
        <v>Negative</v>
      </c>
      <c r="F226" s="3" t="s">
        <v>46</v>
      </c>
    </row>
    <row r="227" spans="1:6">
      <c r="A227" s="1" t="s">
        <v>247</v>
      </c>
      <c r="B227" s="2">
        <v>33</v>
      </c>
      <c r="C227" s="2" t="s">
        <v>6</v>
      </c>
      <c r="D227" s="2">
        <v>3</v>
      </c>
      <c r="E227" s="2" t="str">
        <f t="shared" si="3"/>
        <v>Neutral</v>
      </c>
      <c r="F227" s="3" t="s">
        <v>37</v>
      </c>
    </row>
    <row r="228" spans="1:6">
      <c r="A228" s="1" t="s">
        <v>248</v>
      </c>
      <c r="B228" s="2">
        <v>53</v>
      </c>
      <c r="C228" s="2" t="s">
        <v>11</v>
      </c>
      <c r="D228" s="2">
        <v>2</v>
      </c>
      <c r="E228" s="2" t="str">
        <f t="shared" si="3"/>
        <v>Negative</v>
      </c>
      <c r="F228" s="3" t="s">
        <v>29</v>
      </c>
    </row>
    <row r="229" spans="1:6">
      <c r="A229" s="1" t="s">
        <v>249</v>
      </c>
      <c r="B229" s="2">
        <v>44</v>
      </c>
      <c r="C229" s="2" t="s">
        <v>11</v>
      </c>
      <c r="D229" s="2">
        <v>5</v>
      </c>
      <c r="E229" s="2" t="str">
        <f t="shared" si="3"/>
        <v>Positive</v>
      </c>
      <c r="F229" s="3" t="s">
        <v>9</v>
      </c>
    </row>
    <row r="230" spans="1:6">
      <c r="A230" s="1" t="s">
        <v>250</v>
      </c>
      <c r="B230" s="2">
        <v>54</v>
      </c>
      <c r="C230" s="2" t="s">
        <v>11</v>
      </c>
      <c r="D230" s="2">
        <v>5</v>
      </c>
      <c r="E230" s="2" t="str">
        <f t="shared" si="3"/>
        <v>Positive</v>
      </c>
      <c r="F230" s="3" t="s">
        <v>53</v>
      </c>
    </row>
    <row r="231" spans="1:6">
      <c r="A231" s="1" t="s">
        <v>251</v>
      </c>
      <c r="B231" s="2">
        <v>48</v>
      </c>
      <c r="C231" s="2" t="s">
        <v>11</v>
      </c>
      <c r="D231" s="2">
        <v>1</v>
      </c>
      <c r="E231" s="2" t="str">
        <f t="shared" si="3"/>
        <v>Negative</v>
      </c>
      <c r="F231" s="3" t="s">
        <v>27</v>
      </c>
    </row>
    <row r="232" spans="1:6">
      <c r="A232" s="1" t="s">
        <v>252</v>
      </c>
      <c r="B232" s="2">
        <v>48</v>
      </c>
      <c r="C232" s="2" t="s">
        <v>6</v>
      </c>
      <c r="D232" s="2">
        <v>3</v>
      </c>
      <c r="E232" s="2" t="str">
        <f t="shared" si="3"/>
        <v>Neutral</v>
      </c>
      <c r="F232" s="3" t="s">
        <v>37</v>
      </c>
    </row>
    <row r="233" spans="1:6">
      <c r="A233" s="1" t="s">
        <v>253</v>
      </c>
      <c r="B233" s="2">
        <v>23</v>
      </c>
      <c r="C233" s="2" t="s">
        <v>11</v>
      </c>
      <c r="D233" s="2">
        <v>2</v>
      </c>
      <c r="E233" s="2" t="str">
        <f t="shared" si="3"/>
        <v>Negative</v>
      </c>
      <c r="F233" s="3" t="s">
        <v>27</v>
      </c>
    </row>
    <row r="234" spans="1:6">
      <c r="A234" s="1" t="s">
        <v>254</v>
      </c>
      <c r="B234" s="2">
        <v>48</v>
      </c>
      <c r="C234" s="2" t="s">
        <v>11</v>
      </c>
      <c r="D234" s="2">
        <v>3</v>
      </c>
      <c r="E234" s="2" t="str">
        <f t="shared" si="3"/>
        <v>Neutral</v>
      </c>
      <c r="F234" s="3" t="s">
        <v>7</v>
      </c>
    </row>
    <row r="235" spans="1:6">
      <c r="A235" s="1" t="s">
        <v>255</v>
      </c>
      <c r="B235" s="2">
        <v>26</v>
      </c>
      <c r="C235" s="2" t="s">
        <v>11</v>
      </c>
      <c r="D235" s="2">
        <v>2</v>
      </c>
      <c r="E235" s="2" t="str">
        <f t="shared" si="3"/>
        <v>Negative</v>
      </c>
      <c r="F235" s="3" t="s">
        <v>25</v>
      </c>
    </row>
    <row r="236" spans="1:6">
      <c r="A236" s="1" t="s">
        <v>256</v>
      </c>
      <c r="B236" s="2">
        <v>43</v>
      </c>
      <c r="C236" s="2" t="s">
        <v>6</v>
      </c>
      <c r="D236" s="2">
        <v>5</v>
      </c>
      <c r="E236" s="2" t="str">
        <f t="shared" si="3"/>
        <v>Positive</v>
      </c>
      <c r="F236" s="3" t="s">
        <v>53</v>
      </c>
    </row>
    <row r="237" spans="1:6">
      <c r="A237" s="1" t="s">
        <v>257</v>
      </c>
      <c r="B237" s="2">
        <v>34</v>
      </c>
      <c r="C237" s="2" t="s">
        <v>11</v>
      </c>
      <c r="D237" s="2">
        <v>4</v>
      </c>
      <c r="E237" s="2" t="str">
        <f t="shared" si="3"/>
        <v>Positive</v>
      </c>
      <c r="F237" s="3" t="s">
        <v>22</v>
      </c>
    </row>
    <row r="238" spans="1:6">
      <c r="A238" s="1" t="s">
        <v>258</v>
      </c>
      <c r="B238" s="2">
        <v>34</v>
      </c>
      <c r="C238" s="2" t="s">
        <v>6</v>
      </c>
      <c r="D238" s="2">
        <v>2</v>
      </c>
      <c r="E238" s="2" t="str">
        <f t="shared" si="3"/>
        <v>Negative</v>
      </c>
      <c r="F238" s="3" t="s">
        <v>29</v>
      </c>
    </row>
    <row r="239" spans="1:6">
      <c r="A239" s="1" t="s">
        <v>259</v>
      </c>
      <c r="B239" s="2">
        <v>57</v>
      </c>
      <c r="C239" s="2" t="s">
        <v>6</v>
      </c>
      <c r="D239" s="2">
        <v>1</v>
      </c>
      <c r="E239" s="2" t="str">
        <f t="shared" si="3"/>
        <v>Negative</v>
      </c>
      <c r="F239" s="3" t="s">
        <v>27</v>
      </c>
    </row>
    <row r="240" spans="1:6">
      <c r="A240" s="1" t="s">
        <v>260</v>
      </c>
      <c r="B240" s="2">
        <v>65</v>
      </c>
      <c r="C240" s="2" t="s">
        <v>6</v>
      </c>
      <c r="D240" s="2">
        <v>3</v>
      </c>
      <c r="E240" s="2" t="str">
        <f t="shared" si="3"/>
        <v>Neutral</v>
      </c>
      <c r="F240" s="3" t="s">
        <v>7</v>
      </c>
    </row>
    <row r="241" spans="1:6">
      <c r="A241" s="1" t="s">
        <v>261</v>
      </c>
      <c r="B241" s="2">
        <v>53</v>
      </c>
      <c r="C241" s="2" t="s">
        <v>6</v>
      </c>
      <c r="D241" s="2">
        <v>4</v>
      </c>
      <c r="E241" s="2" t="str">
        <f t="shared" si="3"/>
        <v>Positive</v>
      </c>
      <c r="F241" s="3" t="s">
        <v>16</v>
      </c>
    </row>
    <row r="242" spans="1:6">
      <c r="A242" s="1" t="s">
        <v>262</v>
      </c>
      <c r="B242" s="2">
        <v>38</v>
      </c>
      <c r="C242" s="2" t="s">
        <v>11</v>
      </c>
      <c r="D242" s="2">
        <v>4</v>
      </c>
      <c r="E242" s="2" t="str">
        <f t="shared" si="3"/>
        <v>Positive</v>
      </c>
      <c r="F242" s="3" t="s">
        <v>14</v>
      </c>
    </row>
    <row r="243" spans="1:6">
      <c r="A243" s="1" t="s">
        <v>263</v>
      </c>
      <c r="B243" s="2">
        <v>38</v>
      </c>
      <c r="C243" s="2" t="s">
        <v>11</v>
      </c>
      <c r="D243" s="2">
        <v>3</v>
      </c>
      <c r="E243" s="2" t="str">
        <f t="shared" si="3"/>
        <v>Neutral</v>
      </c>
      <c r="F243" s="3" t="s">
        <v>20</v>
      </c>
    </row>
    <row r="244" spans="1:6">
      <c r="A244" s="1" t="s">
        <v>264</v>
      </c>
      <c r="B244" s="2">
        <v>37</v>
      </c>
      <c r="C244" s="2" t="s">
        <v>11</v>
      </c>
      <c r="D244" s="2">
        <v>3</v>
      </c>
      <c r="E244" s="2" t="str">
        <f t="shared" si="3"/>
        <v>Neutral</v>
      </c>
      <c r="F244" s="3" t="s">
        <v>20</v>
      </c>
    </row>
    <row r="245" spans="1:6">
      <c r="A245" s="1" t="s">
        <v>265</v>
      </c>
      <c r="B245" s="2">
        <v>18</v>
      </c>
      <c r="C245" s="2" t="s">
        <v>11</v>
      </c>
      <c r="D245" s="2">
        <v>2</v>
      </c>
      <c r="E245" s="2" t="str">
        <f t="shared" si="3"/>
        <v>Negative</v>
      </c>
      <c r="F245" s="3" t="s">
        <v>25</v>
      </c>
    </row>
    <row r="246" spans="1:6">
      <c r="A246" s="1" t="s">
        <v>266</v>
      </c>
      <c r="B246" s="2">
        <v>51</v>
      </c>
      <c r="C246" s="2" t="s">
        <v>11</v>
      </c>
      <c r="D246" s="2">
        <v>3</v>
      </c>
      <c r="E246" s="2" t="str">
        <f t="shared" si="3"/>
        <v>Neutral</v>
      </c>
      <c r="F246" s="3" t="s">
        <v>37</v>
      </c>
    </row>
    <row r="247" spans="1:6">
      <c r="A247" s="1" t="s">
        <v>267</v>
      </c>
      <c r="B247" s="2">
        <v>32</v>
      </c>
      <c r="C247" s="2" t="s">
        <v>6</v>
      </c>
      <c r="D247" s="2">
        <v>5</v>
      </c>
      <c r="E247" s="2" t="str">
        <f t="shared" si="3"/>
        <v>Positive</v>
      </c>
      <c r="F247" s="3" t="s">
        <v>16</v>
      </c>
    </row>
    <row r="248" spans="1:6">
      <c r="A248" s="1" t="s">
        <v>268</v>
      </c>
      <c r="B248" s="2">
        <v>26</v>
      </c>
      <c r="C248" s="2" t="s">
        <v>11</v>
      </c>
      <c r="D248" s="2">
        <v>3</v>
      </c>
      <c r="E248" s="2" t="str">
        <f t="shared" si="3"/>
        <v>Neutral</v>
      </c>
      <c r="F248" s="3" t="s">
        <v>50</v>
      </c>
    </row>
    <row r="249" spans="1:6">
      <c r="A249" s="1" t="s">
        <v>269</v>
      </c>
      <c r="B249" s="2">
        <v>30</v>
      </c>
      <c r="C249" s="2" t="s">
        <v>11</v>
      </c>
      <c r="D249" s="2">
        <v>1</v>
      </c>
      <c r="E249" s="2" t="str">
        <f t="shared" si="3"/>
        <v>Negative</v>
      </c>
      <c r="F249" s="3" t="s">
        <v>12</v>
      </c>
    </row>
    <row r="250" spans="1:6">
      <c r="A250" s="1" t="s">
        <v>270</v>
      </c>
      <c r="B250" s="2">
        <v>25</v>
      </c>
      <c r="C250" s="2" t="s">
        <v>6</v>
      </c>
      <c r="D250" s="2">
        <v>1</v>
      </c>
      <c r="E250" s="2" t="str">
        <f t="shared" si="3"/>
        <v>Negative</v>
      </c>
      <c r="F250" s="3" t="s">
        <v>27</v>
      </c>
    </row>
    <row r="251" spans="1:6">
      <c r="A251" s="1" t="s">
        <v>271</v>
      </c>
      <c r="B251" s="2">
        <v>22</v>
      </c>
      <c r="C251" s="2" t="s">
        <v>11</v>
      </c>
      <c r="D251" s="2">
        <v>2</v>
      </c>
      <c r="E251" s="2" t="str">
        <f t="shared" si="3"/>
        <v>Negative</v>
      </c>
      <c r="F251" s="3" t="s">
        <v>46</v>
      </c>
    </row>
    <row r="252" spans="1:6">
      <c r="A252" s="1" t="s">
        <v>272</v>
      </c>
      <c r="B252" s="2">
        <v>59</v>
      </c>
      <c r="C252" s="2" t="s">
        <v>6</v>
      </c>
      <c r="D252" s="2">
        <v>2</v>
      </c>
      <c r="E252" s="2" t="str">
        <f t="shared" si="3"/>
        <v>Negative</v>
      </c>
      <c r="F252" s="3" t="s">
        <v>27</v>
      </c>
    </row>
    <row r="253" spans="1:6">
      <c r="A253" s="1" t="s">
        <v>273</v>
      </c>
      <c r="B253" s="2">
        <v>48</v>
      </c>
      <c r="C253" s="2" t="s">
        <v>11</v>
      </c>
      <c r="D253" s="2">
        <v>1</v>
      </c>
      <c r="E253" s="2" t="str">
        <f t="shared" si="3"/>
        <v>Negative</v>
      </c>
      <c r="F253" s="3" t="s">
        <v>29</v>
      </c>
    </row>
    <row r="254" spans="1:6">
      <c r="A254" s="1" t="s">
        <v>274</v>
      </c>
      <c r="B254" s="2">
        <v>47</v>
      </c>
      <c r="C254" s="2" t="s">
        <v>6</v>
      </c>
      <c r="D254" s="2">
        <v>4</v>
      </c>
      <c r="E254" s="2" t="str">
        <f t="shared" si="3"/>
        <v>Positive</v>
      </c>
      <c r="F254" s="3" t="s">
        <v>22</v>
      </c>
    </row>
    <row r="255" spans="1:6">
      <c r="A255" s="1" t="s">
        <v>275</v>
      </c>
      <c r="B255" s="2">
        <v>21</v>
      </c>
      <c r="C255" s="2" t="s">
        <v>6</v>
      </c>
      <c r="D255" s="2">
        <v>3</v>
      </c>
      <c r="E255" s="2" t="str">
        <f t="shared" si="3"/>
        <v>Neutral</v>
      </c>
      <c r="F255" s="3" t="s">
        <v>37</v>
      </c>
    </row>
    <row r="256" spans="1:6">
      <c r="A256" s="1" t="s">
        <v>276</v>
      </c>
      <c r="B256" s="2">
        <v>26</v>
      </c>
      <c r="C256" s="2" t="s">
        <v>6</v>
      </c>
      <c r="D256" s="2">
        <v>4</v>
      </c>
      <c r="E256" s="2" t="str">
        <f t="shared" si="3"/>
        <v>Positive</v>
      </c>
      <c r="F256" s="3" t="s">
        <v>22</v>
      </c>
    </row>
    <row r="257" spans="1:6">
      <c r="A257" s="1" t="s">
        <v>277</v>
      </c>
      <c r="B257" s="2">
        <v>52</v>
      </c>
      <c r="C257" s="2" t="s">
        <v>6</v>
      </c>
      <c r="D257" s="2">
        <v>4</v>
      </c>
      <c r="E257" s="2" t="str">
        <f t="shared" si="3"/>
        <v>Positive</v>
      </c>
      <c r="F257" s="3" t="s">
        <v>16</v>
      </c>
    </row>
    <row r="258" spans="1:6">
      <c r="A258" s="1" t="s">
        <v>278</v>
      </c>
      <c r="B258" s="2">
        <v>38</v>
      </c>
      <c r="C258" s="2" t="s">
        <v>11</v>
      </c>
      <c r="D258" s="2">
        <v>2</v>
      </c>
      <c r="E258" s="2" t="str">
        <f t="shared" si="3"/>
        <v>Negative</v>
      </c>
      <c r="F258" s="3" t="s">
        <v>46</v>
      </c>
    </row>
    <row r="259" spans="1:6">
      <c r="A259" s="1" t="s">
        <v>279</v>
      </c>
      <c r="B259" s="2">
        <v>37</v>
      </c>
      <c r="C259" s="2" t="s">
        <v>6</v>
      </c>
      <c r="D259" s="2">
        <v>2</v>
      </c>
      <c r="E259" s="2" t="str">
        <f t="shared" ref="E259:E301" si="4">IF(D259&gt;=4,"Positive",IF(D259=3,"Neutral","Negative"))</f>
        <v>Negative</v>
      </c>
      <c r="F259" s="3" t="s">
        <v>27</v>
      </c>
    </row>
    <row r="260" spans="1:6">
      <c r="A260" s="1" t="s">
        <v>280</v>
      </c>
      <c r="B260" s="2">
        <v>26</v>
      </c>
      <c r="C260" s="2" t="s">
        <v>6</v>
      </c>
      <c r="D260" s="2">
        <v>5</v>
      </c>
      <c r="E260" s="2" t="str">
        <f t="shared" si="4"/>
        <v>Positive</v>
      </c>
      <c r="F260" s="3" t="s">
        <v>14</v>
      </c>
    </row>
    <row r="261" spans="1:6">
      <c r="A261" s="1" t="s">
        <v>281</v>
      </c>
      <c r="B261" s="2">
        <v>29</v>
      </c>
      <c r="C261" s="2" t="s">
        <v>11</v>
      </c>
      <c r="D261" s="2">
        <v>4</v>
      </c>
      <c r="E261" s="2" t="str">
        <f t="shared" si="4"/>
        <v>Positive</v>
      </c>
      <c r="F261" s="3" t="s">
        <v>14</v>
      </c>
    </row>
    <row r="262" spans="1:6">
      <c r="A262" s="1" t="s">
        <v>282</v>
      </c>
      <c r="B262" s="2">
        <v>46</v>
      </c>
      <c r="C262" s="2" t="s">
        <v>6</v>
      </c>
      <c r="D262" s="2">
        <v>4</v>
      </c>
      <c r="E262" s="2" t="str">
        <f t="shared" si="4"/>
        <v>Positive</v>
      </c>
      <c r="F262" s="3" t="s">
        <v>22</v>
      </c>
    </row>
    <row r="263" spans="1:6">
      <c r="A263" s="1" t="s">
        <v>283</v>
      </c>
      <c r="B263" s="2">
        <v>27</v>
      </c>
      <c r="C263" s="2" t="s">
        <v>11</v>
      </c>
      <c r="D263" s="2">
        <v>5</v>
      </c>
      <c r="E263" s="2" t="str">
        <f t="shared" si="4"/>
        <v>Positive</v>
      </c>
      <c r="F263" s="3" t="s">
        <v>53</v>
      </c>
    </row>
    <row r="264" spans="1:6">
      <c r="A264" s="1" t="s">
        <v>284</v>
      </c>
      <c r="B264" s="2">
        <v>49</v>
      </c>
      <c r="C264" s="2" t="s">
        <v>11</v>
      </c>
      <c r="D264" s="2">
        <v>1</v>
      </c>
      <c r="E264" s="2" t="str">
        <f t="shared" si="4"/>
        <v>Negative</v>
      </c>
      <c r="F264" s="3" t="s">
        <v>29</v>
      </c>
    </row>
    <row r="265" spans="1:6">
      <c r="A265" s="1" t="s">
        <v>285</v>
      </c>
      <c r="B265" s="2">
        <v>63</v>
      </c>
      <c r="C265" s="2" t="s">
        <v>6</v>
      </c>
      <c r="D265" s="2">
        <v>4</v>
      </c>
      <c r="E265" s="2" t="str">
        <f t="shared" si="4"/>
        <v>Positive</v>
      </c>
      <c r="F265" s="3" t="s">
        <v>22</v>
      </c>
    </row>
    <row r="266" spans="1:6">
      <c r="A266" s="1" t="s">
        <v>286</v>
      </c>
      <c r="B266" s="2">
        <v>36</v>
      </c>
      <c r="C266" s="2" t="s">
        <v>6</v>
      </c>
      <c r="D266" s="2">
        <v>4</v>
      </c>
      <c r="E266" s="2" t="str">
        <f t="shared" si="4"/>
        <v>Positive</v>
      </c>
      <c r="F266" s="3" t="s">
        <v>16</v>
      </c>
    </row>
    <row r="267" spans="1:6">
      <c r="A267" s="1" t="s">
        <v>287</v>
      </c>
      <c r="B267" s="2">
        <v>38</v>
      </c>
      <c r="C267" s="2" t="s">
        <v>6</v>
      </c>
      <c r="D267" s="2">
        <v>5</v>
      </c>
      <c r="E267" s="2" t="str">
        <f t="shared" si="4"/>
        <v>Positive</v>
      </c>
      <c r="F267" s="3" t="s">
        <v>9</v>
      </c>
    </row>
    <row r="268" spans="1:6">
      <c r="A268" s="1" t="s">
        <v>288</v>
      </c>
      <c r="B268" s="2">
        <v>39</v>
      </c>
      <c r="C268" s="2" t="s">
        <v>6</v>
      </c>
      <c r="D268" s="2">
        <v>3</v>
      </c>
      <c r="E268" s="2" t="str">
        <f t="shared" si="4"/>
        <v>Neutral</v>
      </c>
      <c r="F268" s="3" t="s">
        <v>20</v>
      </c>
    </row>
    <row r="269" spans="1:6">
      <c r="A269" s="1" t="s">
        <v>289</v>
      </c>
      <c r="B269" s="2">
        <v>23</v>
      </c>
      <c r="C269" s="2" t="s">
        <v>6</v>
      </c>
      <c r="D269" s="2">
        <v>2</v>
      </c>
      <c r="E269" s="2" t="str">
        <f t="shared" si="4"/>
        <v>Negative</v>
      </c>
      <c r="F269" s="3" t="s">
        <v>12</v>
      </c>
    </row>
    <row r="270" spans="1:6">
      <c r="A270" s="1" t="s">
        <v>290</v>
      </c>
      <c r="B270" s="2">
        <v>36</v>
      </c>
      <c r="C270" s="2" t="s">
        <v>6</v>
      </c>
      <c r="D270" s="2">
        <v>5</v>
      </c>
      <c r="E270" s="2" t="str">
        <f t="shared" si="4"/>
        <v>Positive</v>
      </c>
      <c r="F270" s="3" t="s">
        <v>22</v>
      </c>
    </row>
    <row r="271" spans="1:6">
      <c r="A271" s="1" t="s">
        <v>291</v>
      </c>
      <c r="B271" s="2">
        <v>53</v>
      </c>
      <c r="C271" s="2" t="s">
        <v>11</v>
      </c>
      <c r="D271" s="2">
        <v>5</v>
      </c>
      <c r="E271" s="2" t="str">
        <f t="shared" si="4"/>
        <v>Positive</v>
      </c>
      <c r="F271" s="3" t="s">
        <v>16</v>
      </c>
    </row>
    <row r="272" spans="1:6">
      <c r="A272" s="1" t="s">
        <v>292</v>
      </c>
      <c r="B272" s="2">
        <v>43</v>
      </c>
      <c r="C272" s="2" t="s">
        <v>6</v>
      </c>
      <c r="D272" s="2">
        <v>1</v>
      </c>
      <c r="E272" s="2" t="str">
        <f t="shared" si="4"/>
        <v>Negative</v>
      </c>
      <c r="F272" s="3" t="s">
        <v>29</v>
      </c>
    </row>
    <row r="273" spans="1:6">
      <c r="A273" s="1" t="s">
        <v>293</v>
      </c>
      <c r="B273" s="2">
        <v>60</v>
      </c>
      <c r="C273" s="2" t="s">
        <v>11</v>
      </c>
      <c r="D273" s="2">
        <v>4</v>
      </c>
      <c r="E273" s="2" t="str">
        <f t="shared" si="4"/>
        <v>Positive</v>
      </c>
      <c r="F273" s="3" t="s">
        <v>22</v>
      </c>
    </row>
    <row r="274" spans="1:6">
      <c r="A274" s="1" t="s">
        <v>294</v>
      </c>
      <c r="B274" s="2">
        <v>33</v>
      </c>
      <c r="C274" s="2" t="s">
        <v>6</v>
      </c>
      <c r="D274" s="2">
        <v>1</v>
      </c>
      <c r="E274" s="2" t="str">
        <f t="shared" si="4"/>
        <v>Negative</v>
      </c>
      <c r="F274" s="3" t="s">
        <v>25</v>
      </c>
    </row>
    <row r="275" spans="1:6">
      <c r="A275" s="1" t="s">
        <v>295</v>
      </c>
      <c r="B275" s="2">
        <v>57</v>
      </c>
      <c r="C275" s="2" t="s">
        <v>11</v>
      </c>
      <c r="D275" s="2">
        <v>2</v>
      </c>
      <c r="E275" s="2" t="str">
        <f t="shared" si="4"/>
        <v>Negative</v>
      </c>
      <c r="F275" s="3" t="s">
        <v>27</v>
      </c>
    </row>
    <row r="276" spans="1:6">
      <c r="A276" s="1" t="s">
        <v>296</v>
      </c>
      <c r="B276" s="2">
        <v>27</v>
      </c>
      <c r="C276" s="2" t="s">
        <v>11</v>
      </c>
      <c r="D276" s="2">
        <v>3</v>
      </c>
      <c r="E276" s="2" t="str">
        <f t="shared" si="4"/>
        <v>Neutral</v>
      </c>
      <c r="F276" s="3" t="s">
        <v>37</v>
      </c>
    </row>
    <row r="277" spans="1:6">
      <c r="A277" s="1" t="s">
        <v>297</v>
      </c>
      <c r="B277" s="2">
        <v>60</v>
      </c>
      <c r="C277" s="2" t="s">
        <v>6</v>
      </c>
      <c r="D277" s="2">
        <v>4</v>
      </c>
      <c r="E277" s="2" t="str">
        <f t="shared" si="4"/>
        <v>Positive</v>
      </c>
      <c r="F277" s="3" t="s">
        <v>22</v>
      </c>
    </row>
    <row r="278" spans="1:6">
      <c r="A278" s="1" t="s">
        <v>298</v>
      </c>
      <c r="B278" s="2">
        <v>50</v>
      </c>
      <c r="C278" s="2" t="s">
        <v>6</v>
      </c>
      <c r="D278" s="2">
        <v>1</v>
      </c>
      <c r="E278" s="2" t="str">
        <f t="shared" si="4"/>
        <v>Negative</v>
      </c>
      <c r="F278" s="3" t="s">
        <v>27</v>
      </c>
    </row>
    <row r="279" spans="1:6">
      <c r="A279" s="1" t="s">
        <v>299</v>
      </c>
      <c r="B279" s="2">
        <v>51</v>
      </c>
      <c r="C279" s="2" t="s">
        <v>6</v>
      </c>
      <c r="D279" s="2">
        <v>1</v>
      </c>
      <c r="E279" s="2" t="str">
        <f t="shared" si="4"/>
        <v>Negative</v>
      </c>
      <c r="F279" s="3" t="s">
        <v>27</v>
      </c>
    </row>
    <row r="280" spans="1:6">
      <c r="A280" s="1" t="s">
        <v>300</v>
      </c>
      <c r="B280" s="2">
        <v>25</v>
      </c>
      <c r="C280" s="2" t="s">
        <v>11</v>
      </c>
      <c r="D280" s="2">
        <v>5</v>
      </c>
      <c r="E280" s="2" t="str">
        <f t="shared" si="4"/>
        <v>Positive</v>
      </c>
      <c r="F280" s="3" t="s">
        <v>14</v>
      </c>
    </row>
    <row r="281" spans="1:6">
      <c r="A281" s="1" t="s">
        <v>301</v>
      </c>
      <c r="B281" s="2">
        <v>35</v>
      </c>
      <c r="C281" s="2" t="s">
        <v>6</v>
      </c>
      <c r="D281" s="2">
        <v>5</v>
      </c>
      <c r="E281" s="2" t="str">
        <f t="shared" si="4"/>
        <v>Positive</v>
      </c>
      <c r="F281" s="3" t="s">
        <v>14</v>
      </c>
    </row>
    <row r="282" spans="1:6">
      <c r="A282" s="1" t="s">
        <v>302</v>
      </c>
      <c r="B282" s="2">
        <v>48</v>
      </c>
      <c r="C282" s="2" t="s">
        <v>6</v>
      </c>
      <c r="D282" s="2">
        <v>4</v>
      </c>
      <c r="E282" s="2" t="str">
        <f t="shared" si="4"/>
        <v>Positive</v>
      </c>
      <c r="F282" s="3" t="s">
        <v>14</v>
      </c>
    </row>
    <row r="283" spans="1:6">
      <c r="A283" s="1" t="s">
        <v>303</v>
      </c>
      <c r="B283" s="2">
        <v>56</v>
      </c>
      <c r="C283" s="2" t="s">
        <v>6</v>
      </c>
      <c r="D283" s="2">
        <v>5</v>
      </c>
      <c r="E283" s="2" t="str">
        <f t="shared" si="4"/>
        <v>Positive</v>
      </c>
      <c r="F283" s="3" t="s">
        <v>22</v>
      </c>
    </row>
    <row r="284" spans="1:6">
      <c r="A284" s="1" t="s">
        <v>304</v>
      </c>
      <c r="B284" s="2">
        <v>62</v>
      </c>
      <c r="C284" s="2" t="s">
        <v>6</v>
      </c>
      <c r="D284" s="2">
        <v>5</v>
      </c>
      <c r="E284" s="2" t="str">
        <f t="shared" si="4"/>
        <v>Positive</v>
      </c>
      <c r="F284" s="3" t="s">
        <v>22</v>
      </c>
    </row>
    <row r="285" spans="1:6">
      <c r="A285" s="1" t="s">
        <v>305</v>
      </c>
      <c r="B285" s="2">
        <v>48</v>
      </c>
      <c r="C285" s="2" t="s">
        <v>6</v>
      </c>
      <c r="D285" s="2">
        <v>5</v>
      </c>
      <c r="E285" s="2" t="str">
        <f t="shared" si="4"/>
        <v>Positive</v>
      </c>
      <c r="F285" s="3" t="s">
        <v>22</v>
      </c>
    </row>
    <row r="286" spans="1:6">
      <c r="A286" s="1" t="s">
        <v>306</v>
      </c>
      <c r="B286" s="2">
        <v>65</v>
      </c>
      <c r="C286" s="2" t="s">
        <v>11</v>
      </c>
      <c r="D286" s="2">
        <v>2</v>
      </c>
      <c r="E286" s="2" t="str">
        <f t="shared" si="4"/>
        <v>Negative</v>
      </c>
      <c r="F286" s="3" t="s">
        <v>12</v>
      </c>
    </row>
    <row r="287" spans="1:6">
      <c r="A287" s="1" t="s">
        <v>307</v>
      </c>
      <c r="B287" s="2">
        <v>46</v>
      </c>
      <c r="C287" s="2" t="s">
        <v>6</v>
      </c>
      <c r="D287" s="2">
        <v>1</v>
      </c>
      <c r="E287" s="2" t="str">
        <f t="shared" si="4"/>
        <v>Negative</v>
      </c>
      <c r="F287" s="3" t="s">
        <v>29</v>
      </c>
    </row>
    <row r="288" spans="1:6">
      <c r="A288" s="1" t="s">
        <v>308</v>
      </c>
      <c r="B288" s="2">
        <v>58</v>
      </c>
      <c r="C288" s="2" t="s">
        <v>6</v>
      </c>
      <c r="D288" s="2">
        <v>4</v>
      </c>
      <c r="E288" s="2" t="str">
        <f t="shared" si="4"/>
        <v>Positive</v>
      </c>
      <c r="F288" s="3" t="s">
        <v>22</v>
      </c>
    </row>
    <row r="289" spans="1:6">
      <c r="A289" s="1" t="s">
        <v>309</v>
      </c>
      <c r="B289" s="2">
        <v>62</v>
      </c>
      <c r="C289" s="2" t="s">
        <v>6</v>
      </c>
      <c r="D289" s="2">
        <v>5</v>
      </c>
      <c r="E289" s="2" t="str">
        <f t="shared" si="4"/>
        <v>Positive</v>
      </c>
      <c r="F289" s="3" t="s">
        <v>53</v>
      </c>
    </row>
    <row r="290" spans="1:6">
      <c r="A290" s="1" t="s">
        <v>310</v>
      </c>
      <c r="B290" s="2">
        <v>49</v>
      </c>
      <c r="C290" s="2" t="s">
        <v>11</v>
      </c>
      <c r="D290" s="2">
        <v>4</v>
      </c>
      <c r="E290" s="2" t="str">
        <f t="shared" si="4"/>
        <v>Positive</v>
      </c>
      <c r="F290" s="3" t="s">
        <v>14</v>
      </c>
    </row>
    <row r="291" spans="1:6">
      <c r="A291" s="1" t="s">
        <v>311</v>
      </c>
      <c r="B291" s="2">
        <v>35</v>
      </c>
      <c r="C291" s="2" t="s">
        <v>6</v>
      </c>
      <c r="D291" s="2">
        <v>5</v>
      </c>
      <c r="E291" s="2" t="str">
        <f t="shared" si="4"/>
        <v>Positive</v>
      </c>
      <c r="F291" s="3" t="s">
        <v>9</v>
      </c>
    </row>
    <row r="292" spans="1:6">
      <c r="A292" s="1" t="s">
        <v>312</v>
      </c>
      <c r="B292" s="2">
        <v>54</v>
      </c>
      <c r="C292" s="2" t="s">
        <v>6</v>
      </c>
      <c r="D292" s="2">
        <v>3</v>
      </c>
      <c r="E292" s="2" t="str">
        <f t="shared" si="4"/>
        <v>Neutral</v>
      </c>
      <c r="F292" s="3" t="s">
        <v>7</v>
      </c>
    </row>
    <row r="293" spans="1:6">
      <c r="A293" s="1" t="s">
        <v>313</v>
      </c>
      <c r="B293" s="2">
        <v>26</v>
      </c>
      <c r="C293" s="2" t="s">
        <v>11</v>
      </c>
      <c r="D293" s="2">
        <v>2</v>
      </c>
      <c r="E293" s="2" t="str">
        <f t="shared" si="4"/>
        <v>Negative</v>
      </c>
      <c r="F293" s="3" t="s">
        <v>29</v>
      </c>
    </row>
    <row r="294" spans="1:6">
      <c r="A294" s="1" t="s">
        <v>314</v>
      </c>
      <c r="B294" s="2">
        <v>19</v>
      </c>
      <c r="C294" s="2" t="s">
        <v>6</v>
      </c>
      <c r="D294" s="2">
        <v>5</v>
      </c>
      <c r="E294" s="2" t="str">
        <f t="shared" si="4"/>
        <v>Positive</v>
      </c>
      <c r="F294" s="3" t="s">
        <v>16</v>
      </c>
    </row>
    <row r="295" spans="1:6">
      <c r="A295" s="1" t="s">
        <v>315</v>
      </c>
      <c r="B295" s="2">
        <v>19</v>
      </c>
      <c r="C295" s="2" t="s">
        <v>11</v>
      </c>
      <c r="D295" s="2">
        <v>2</v>
      </c>
      <c r="E295" s="2" t="str">
        <f t="shared" si="4"/>
        <v>Negative</v>
      </c>
      <c r="F295" s="3" t="s">
        <v>25</v>
      </c>
    </row>
    <row r="296" spans="1:6">
      <c r="A296" s="1" t="s">
        <v>316</v>
      </c>
      <c r="B296" s="2">
        <v>37</v>
      </c>
      <c r="C296" s="2" t="s">
        <v>11</v>
      </c>
      <c r="D296" s="2">
        <v>2</v>
      </c>
      <c r="E296" s="2" t="str">
        <f t="shared" si="4"/>
        <v>Negative</v>
      </c>
      <c r="F296" s="3" t="s">
        <v>25</v>
      </c>
    </row>
    <row r="297" spans="1:6">
      <c r="A297" s="1" t="s">
        <v>317</v>
      </c>
      <c r="B297" s="2">
        <v>26</v>
      </c>
      <c r="C297" s="2" t="s">
        <v>11</v>
      </c>
      <c r="D297" s="2">
        <v>5</v>
      </c>
      <c r="E297" s="2" t="str">
        <f t="shared" si="4"/>
        <v>Positive</v>
      </c>
      <c r="F297" s="3" t="s">
        <v>14</v>
      </c>
    </row>
    <row r="298" spans="1:6">
      <c r="A298" s="1" t="s">
        <v>318</v>
      </c>
      <c r="B298" s="2">
        <v>24</v>
      </c>
      <c r="C298" s="2" t="s">
        <v>11</v>
      </c>
      <c r="D298" s="2">
        <v>3</v>
      </c>
      <c r="E298" s="2" t="str">
        <f t="shared" si="4"/>
        <v>Neutral</v>
      </c>
      <c r="F298" s="3" t="s">
        <v>59</v>
      </c>
    </row>
    <row r="299" spans="1:6">
      <c r="A299" s="1" t="s">
        <v>319</v>
      </c>
      <c r="B299" s="2">
        <v>30</v>
      </c>
      <c r="C299" s="2" t="s">
        <v>11</v>
      </c>
      <c r="D299" s="2">
        <v>4</v>
      </c>
      <c r="E299" s="2" t="str">
        <f t="shared" si="4"/>
        <v>Positive</v>
      </c>
      <c r="F299" s="3" t="s">
        <v>16</v>
      </c>
    </row>
    <row r="300" spans="1:6">
      <c r="A300" s="1" t="s">
        <v>320</v>
      </c>
      <c r="B300" s="2">
        <v>43</v>
      </c>
      <c r="C300" s="2" t="s">
        <v>6</v>
      </c>
      <c r="D300" s="2">
        <v>5</v>
      </c>
      <c r="E300" s="2" t="str">
        <f t="shared" si="4"/>
        <v>Positive</v>
      </c>
      <c r="F300" s="3" t="s">
        <v>9</v>
      </c>
    </row>
    <row r="301" spans="1:6">
      <c r="A301" s="4" t="s">
        <v>321</v>
      </c>
      <c r="B301" s="5">
        <v>33</v>
      </c>
      <c r="C301" s="5" t="s">
        <v>6</v>
      </c>
      <c r="D301" s="5">
        <v>3</v>
      </c>
      <c r="E301" s="5" t="str">
        <f t="shared" si="4"/>
        <v>Neutral</v>
      </c>
      <c r="F301" s="6" t="s">
        <v>59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CustomerFeedback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2025-11-27T18:19:59Z</dcterms:created>
  <dcterms:modified xsi:type="dcterms:W3CDTF">2025-11-27T18:59:44Z</dcterms:modified>
</cp:coreProperties>
</file>